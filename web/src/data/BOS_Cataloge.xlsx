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gan\Skyfire_WebApp\src\data\"/>
    </mc:Choice>
  </mc:AlternateContent>
  <xr:revisionPtr revIDLastSave="0" documentId="8_{5D896887-73D5-415C-AF3B-25DE098327DB}" xr6:coauthVersionLast="47" xr6:coauthVersionMax="47" xr10:uidLastSave="{00000000-0000-0000-0000-000000000000}"/>
  <bookViews>
    <workbookView xWindow="-28920" yWindow="-7500" windowWidth="29040" windowHeight="15720" xr2:uid="{4A354276-E5E7-4DB3-984A-C2BED0E32A29}"/>
  </bookViews>
  <sheets>
    <sheet name="Data_BOS" sheetId="1" r:id="rId1"/>
  </sheets>
  <externalReferences>
    <externalReference r:id="rId2"/>
  </externalReferences>
  <definedNames>
    <definedName name="AHJState">#REF!</definedName>
    <definedName name="angle">#REF!</definedName>
    <definedName name="AZ">#REF!</definedName>
    <definedName name="BeamCase">#REF!</definedName>
    <definedName name="BeamCase_Properties">#REF!</definedName>
    <definedName name="CA">#REF!</definedName>
    <definedName name="CO">#REF!</definedName>
    <definedName name="CombinerManuf">#REF!</definedName>
    <definedName name="Deflections">#REF!</definedName>
    <definedName name="Deflections_Properties">#REF!</definedName>
    <definedName name="Dimensional_Lumber">#REF!</definedName>
    <definedName name="Dimensional_Lumber_Array">#REF!</definedName>
    <definedName name="EMTConduitFill31">#REF!</definedName>
    <definedName name="EMTConduitFill40">#REF!</definedName>
    <definedName name="EMTConduitFill53">#REF!</definedName>
    <definedName name="EMTConduitSize">#REF!</definedName>
    <definedName name="Exposure_Categories">#REF!</definedName>
    <definedName name="FL">#REF!</definedName>
    <definedName name="GM_Penetrations">#REF!</definedName>
    <definedName name="Harware_Type_Array">#REF!</definedName>
    <definedName name="Height">#REF!</definedName>
    <definedName name="Height_Data">#REF!</definedName>
    <definedName name="Hill_Type">#REF!</definedName>
    <definedName name="ID">#REF!</definedName>
    <definedName name="IL">#REF!</definedName>
    <definedName name="InvModelHelper2">#REF!</definedName>
    <definedName name="Lag_Size">#REF!</definedName>
    <definedName name="MD">#REF!</definedName>
    <definedName name="MO">#REF!</definedName>
    <definedName name="Module_Properties">#REF!</definedName>
    <definedName name="Modules">#REF!</definedName>
    <definedName name="Mounting_Hardware">#REF!</definedName>
    <definedName name="NC">#REF!</definedName>
    <definedName name="NM">#REF!</definedName>
    <definedName name="NV">#REF!</definedName>
    <definedName name="PA">#REF!</definedName>
    <definedName name="PanelOrientation">#REF!</definedName>
    <definedName name="PipeRackMaterial">#REF!</definedName>
    <definedName name="PipeRackMaterial_Properties">#REF!</definedName>
    <definedName name="POIType">#REF!</definedName>
    <definedName name="Pos1_BatteryModel1">#REF!</definedName>
    <definedName name="Racking_Type">#REF!</definedName>
    <definedName name="RafterSpacing">#REF!</definedName>
    <definedName name="Rail">#REF!</definedName>
    <definedName name="Rail_Orientation">#REF!</definedName>
    <definedName name="Rail_Properties">#REF!</definedName>
    <definedName name="Roof_Shapes">#REF!</definedName>
    <definedName name="Roof_Type">#REF!</definedName>
    <definedName name="Roof_Type_Array">#REF!</definedName>
    <definedName name="SC">#REF!</definedName>
    <definedName name="SCH40ConduitFill31">#REF!</definedName>
    <definedName name="SCH40ConduitFill40">#REF!</definedName>
    <definedName name="SCH40ConduitFill53">#REF!</definedName>
    <definedName name="SCH40ConduitSize">#REF!</definedName>
    <definedName name="Specific_Gravity">#REF!</definedName>
    <definedName name="Stanchion__1_Lag">#REF!</definedName>
    <definedName name="StandoffMakeModel">#REF!</definedName>
    <definedName name="True_False">#REF!</definedName>
    <definedName name="TX">#REF!</definedName>
    <definedName name="UT">#REF!</definedName>
    <definedName name="validated_combiner_Panels">'[1]Export 1'!#REF!</definedName>
    <definedName name="Yes_No">#REF!</definedName>
    <definedName name="yesorno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8" i="1"/>
  <c r="P7" i="1"/>
  <c r="K5" i="1"/>
  <c r="K4" i="1"/>
  <c r="K6" i="1" s="1"/>
  <c r="K3" i="1"/>
  <c r="K2" i="1"/>
  <c r="M1" i="1" a="1"/>
  <c r="M1" i="1" s="1"/>
  <c r="L1" i="1" a="1"/>
  <c r="L1" i="1" s="1"/>
  <c r="N1" i="1" s="1"/>
  <c r="Q8" i="1" l="1"/>
  <c r="T8" i="1" a="1"/>
  <c r="T8" i="1" s="1"/>
  <c r="Q7" i="1"/>
  <c r="T7" i="1" a="1"/>
  <c r="T7" i="1" s="1"/>
  <c r="R7" i="1"/>
  <c r="R14" i="1"/>
  <c r="R8" i="1"/>
  <c r="R13" i="1"/>
  <c r="R15" i="1"/>
  <c r="S8" i="1" l="1" a="1"/>
  <c r="S8" i="1" s="1"/>
  <c r="S7" i="1" a="1"/>
  <c r="S7" i="1" s="1"/>
  <c r="P9" i="1" l="1"/>
  <c r="P12" i="1"/>
  <c r="P14" i="1"/>
  <c r="P10" i="1"/>
  <c r="P13" i="1"/>
  <c r="T13" i="1" s="1" a="1"/>
  <c r="T13" i="1" s="1"/>
  <c r="P11" i="1"/>
  <c r="P6" i="1"/>
  <c r="Q9" i="1" l="1"/>
  <c r="R9" i="1" s="1"/>
  <c r="T9" i="1" a="1"/>
  <c r="T9" i="1" s="1"/>
  <c r="S9" i="1" s="1" a="1"/>
  <c r="S9" i="1" s="1"/>
  <c r="T12" i="1" a="1"/>
  <c r="T12" i="1" s="1"/>
  <c r="S12" i="1" s="1" a="1"/>
  <c r="S12" i="1" s="1"/>
  <c r="Q12" i="1"/>
  <c r="R12" i="1" s="1"/>
  <c r="Q10" i="1"/>
  <c r="R10" i="1" s="1"/>
  <c r="T10" i="1" a="1"/>
  <c r="T10" i="1" s="1"/>
  <c r="S10" i="1" s="1" a="1"/>
  <c r="S10" i="1" s="1"/>
  <c r="T11" i="1" a="1"/>
  <c r="T11" i="1" s="1"/>
  <c r="S11" i="1" s="1" a="1"/>
  <c r="S11" i="1" s="1"/>
  <c r="Q11" i="1"/>
  <c r="R11" i="1" s="1"/>
  <c r="Q6" i="1"/>
  <c r="R6" i="1" s="1"/>
  <c r="T6" i="1" a="1"/>
  <c r="T6" i="1" s="1"/>
  <c r="S6" i="1" s="1" a="1"/>
  <c r="S6" i="1" s="1"/>
  <c r="P3" i="1"/>
  <c r="P5" i="1"/>
  <c r="P4" i="1"/>
  <c r="P1" i="1"/>
  <c r="P2" i="1"/>
  <c r="T3" i="1" l="1" a="1"/>
  <c r="T3" i="1" s="1"/>
  <c r="S3" i="1" s="1" a="1"/>
  <c r="S3" i="1" s="1"/>
  <c r="Q3" i="1"/>
  <c r="R3" i="1" s="1"/>
  <c r="Q5" i="1"/>
  <c r="R5" i="1" s="1"/>
  <c r="T5" i="1" a="1"/>
  <c r="T5" i="1" s="1"/>
  <c r="S5" i="1" s="1" a="1"/>
  <c r="S5" i="1" s="1"/>
  <c r="T4" i="1" a="1"/>
  <c r="T4" i="1" s="1"/>
  <c r="S4" i="1" s="1" a="1"/>
  <c r="S4" i="1" s="1"/>
  <c r="Q4" i="1"/>
  <c r="R4" i="1" s="1"/>
  <c r="Q1" i="1"/>
  <c r="R1" i="1" s="1"/>
  <c r="T1" i="1" a="1"/>
  <c r="T1" i="1" s="1"/>
  <c r="S1" i="1" s="1" a="1"/>
  <c r="S1" i="1" s="1"/>
  <c r="T2" i="1" a="1"/>
  <c r="T2" i="1" s="1"/>
  <c r="Q2" i="1"/>
  <c r="R2" i="1" s="1"/>
  <c r="S2" i="1" l="1" a="1"/>
  <c r="S2" i="1" s="1"/>
</calcChain>
</file>

<file path=xl/sharedStrings.xml><?xml version="1.0" encoding="utf-8"?>
<sst xmlns="http://schemas.openxmlformats.org/spreadsheetml/2006/main" count="1287" uniqueCount="142">
  <si>
    <t>Equipment Type</t>
  </si>
  <si>
    <t>Make</t>
  </si>
  <si>
    <t>Model</t>
  </si>
  <si>
    <t>Amp Rating</t>
  </si>
  <si>
    <t>Utility</t>
  </si>
  <si>
    <t>Helper Index</t>
  </si>
  <si>
    <t>APS</t>
  </si>
  <si>
    <t>AC Disconnect</t>
  </si>
  <si>
    <t>CUTLER HAMMER</t>
  </si>
  <si>
    <t>DG221URB</t>
  </si>
  <si>
    <t>Gen</t>
  </si>
  <si>
    <t>Variation</t>
  </si>
  <si>
    <t>Standard Name</t>
  </si>
  <si>
    <t>What is the POI Type?</t>
  </si>
  <si>
    <t>DG222URB</t>
  </si>
  <si>
    <t>Utility Disconnect</t>
  </si>
  <si>
    <t>Fused AC Disconnect</t>
  </si>
  <si>
    <t>ESS? (Yes,No)</t>
  </si>
  <si>
    <t>DG323UGB</t>
  </si>
  <si>
    <t>Utility AC Disconnect Switch</t>
  </si>
  <si>
    <t>Pos 1 - Battery 1</t>
  </si>
  <si>
    <t>DG324URK</t>
  </si>
  <si>
    <t>Pos 1 - Battery 2</t>
  </si>
  <si>
    <t>EATON</t>
  </si>
  <si>
    <t>Bi-Directional Meter DER Side Disconnect</t>
  </si>
  <si>
    <t>ESS Disconnect</t>
  </si>
  <si>
    <t>IF ESS Yes, Is Battery AC/DC Coupled?</t>
  </si>
  <si>
    <t>Uni-Directional Meter Line Side Disconnect</t>
  </si>
  <si>
    <t>DG223URB</t>
  </si>
  <si>
    <t>DER Storage Meter Disconnect Switch</t>
  </si>
  <si>
    <t>DER Meter Disconnect Switch</t>
  </si>
  <si>
    <t>SIEMENS</t>
  </si>
  <si>
    <t>DU324RB</t>
  </si>
  <si>
    <t>Photovoltaic System Disconnect Switch</t>
  </si>
  <si>
    <t>GNF323R</t>
  </si>
  <si>
    <t>LNF221R</t>
  </si>
  <si>
    <t>Junction Box</t>
  </si>
  <si>
    <t>LNF222R</t>
  </si>
  <si>
    <t>Combiner Panel</t>
  </si>
  <si>
    <t>SQUARE D</t>
  </si>
  <si>
    <t>DU221RB</t>
  </si>
  <si>
    <t>Dedicated Photovoltaic System Combiner Panel</t>
  </si>
  <si>
    <t>Position Combiner Panel</t>
  </si>
  <si>
    <t>DU222RB</t>
  </si>
  <si>
    <t>Uni-Directional Meter</t>
  </si>
  <si>
    <t>PV Meter</t>
  </si>
  <si>
    <t>DTU223RB</t>
  </si>
  <si>
    <t>Dedicated DER Meter</t>
  </si>
  <si>
    <t>Bi-Directional Meter</t>
  </si>
  <si>
    <t>ESS Meter</t>
  </si>
  <si>
    <t>DG221NRB</t>
  </si>
  <si>
    <t>DER Storage Meter</t>
  </si>
  <si>
    <t>DG222NRB</t>
  </si>
  <si>
    <t>DG Disconnect Switch</t>
  </si>
  <si>
    <t>DG223NRB</t>
  </si>
  <si>
    <t>Utility DG Meter</t>
  </si>
  <si>
    <t>DG324NRK</t>
  </si>
  <si>
    <t>Co-Generation System Utility Disconnect</t>
  </si>
  <si>
    <t>Enphase Combiner Box</t>
  </si>
  <si>
    <t>Photovoltaic System Disconnect</t>
  </si>
  <si>
    <t>Photovoltaic System Service Disconnect</t>
  </si>
  <si>
    <t>String Combiner Panel</t>
  </si>
  <si>
    <t>GF224NR</t>
  </si>
  <si>
    <t>GF323</t>
  </si>
  <si>
    <t>Enphase System Controller</t>
  </si>
  <si>
    <t>System Controller</t>
  </si>
  <si>
    <t>LF221R</t>
  </si>
  <si>
    <t>Tesla Gateway 3</t>
  </si>
  <si>
    <t>LF222R</t>
  </si>
  <si>
    <t>Tesla Backup Gateway 2</t>
  </si>
  <si>
    <t>D221NRB</t>
  </si>
  <si>
    <t>SolarEdge Backup Interface</t>
  </si>
  <si>
    <t>VYNCKIER</t>
  </si>
  <si>
    <t>RU2LP</t>
  </si>
  <si>
    <t>Uitlity AC Disconnect Switch</t>
  </si>
  <si>
    <t>WILEY</t>
  </si>
  <si>
    <t>BR816L100RP</t>
  </si>
  <si>
    <t>Bi-Directional Meter Line Side Disconnect</t>
  </si>
  <si>
    <t>SMS</t>
  </si>
  <si>
    <t>BR816L125RP</t>
  </si>
  <si>
    <t>Utility PV AC Disconnect</t>
  </si>
  <si>
    <t>BR816L200RP</t>
  </si>
  <si>
    <t>W0816ML1125CU</t>
  </si>
  <si>
    <t>Backup Load Sub Panel</t>
  </si>
  <si>
    <t>011</t>
  </si>
  <si>
    <t>IQ Meter Collar</t>
  </si>
  <si>
    <t>Meter Collar</t>
  </si>
  <si>
    <t>1004455BCH</t>
  </si>
  <si>
    <t>200A</t>
  </si>
  <si>
    <t>Meter Collar Adapter</t>
  </si>
  <si>
    <t>MILBANK</t>
  </si>
  <si>
    <t>U4015-0</t>
  </si>
  <si>
    <t>U4518-XL-W</t>
  </si>
  <si>
    <t>U5929XL</t>
  </si>
  <si>
    <t>UAT111-BPCC</t>
  </si>
  <si>
    <t>U1104-RL-PG-KK</t>
  </si>
  <si>
    <t>SRP</t>
  </si>
  <si>
    <t>D223NRB</t>
  </si>
  <si>
    <t>TEP</t>
  </si>
  <si>
    <t>TRICO</t>
  </si>
  <si>
    <t>UniSource</t>
  </si>
  <si>
    <t>Sulphur Springs Valley Electric Cooperative</t>
  </si>
  <si>
    <t>Cutler Hammer</t>
  </si>
  <si>
    <t>UNRRS101BEUSE</t>
  </si>
  <si>
    <t>UNRRS111BEUSE</t>
  </si>
  <si>
    <t>URTRS101BE</t>
  </si>
  <si>
    <t>B-Line 011 SRP</t>
  </si>
  <si>
    <t>B-Line 011 SRP MS18</t>
  </si>
  <si>
    <t>B-Line 011 MS25</t>
  </si>
  <si>
    <t>CH114TB</t>
  </si>
  <si>
    <t>CH115TB</t>
  </si>
  <si>
    <t>CH117TB</t>
  </si>
  <si>
    <t>UNRRS202BEUSCH</t>
  </si>
  <si>
    <t>UNRRS213AEUSE</t>
  </si>
  <si>
    <t>UNRRS213BEUSE</t>
  </si>
  <si>
    <t>UNRRS213CEUSE</t>
  </si>
  <si>
    <t>URTRS202BCH</t>
  </si>
  <si>
    <t>URTRS202NEUSCH</t>
  </si>
  <si>
    <t>URTRS213BE</t>
  </si>
  <si>
    <t>URTRS213NEUSCH</t>
  </si>
  <si>
    <t>CH124TB</t>
  </si>
  <si>
    <t>CH125TB</t>
  </si>
  <si>
    <t>CH127TB</t>
  </si>
  <si>
    <t>Milbank</t>
  </si>
  <si>
    <t>U5929-XL-INS</t>
  </si>
  <si>
    <t>114TB</t>
  </si>
  <si>
    <t>115TB</t>
  </si>
  <si>
    <t>117TB</t>
  </si>
  <si>
    <t>U7490-RL</t>
  </si>
  <si>
    <t>U1681-RL</t>
  </si>
  <si>
    <t>U4015-O</t>
  </si>
  <si>
    <t>U4517-DL-M4</t>
  </si>
  <si>
    <t>U4518-O-W</t>
  </si>
  <si>
    <t>124TB</t>
  </si>
  <si>
    <t>U3328-RXL</t>
  </si>
  <si>
    <t>125TB</t>
  </si>
  <si>
    <t>127TB</t>
  </si>
  <si>
    <t>U5929-XL-PG-RINGSKT</t>
  </si>
  <si>
    <t>Siemens</t>
  </si>
  <si>
    <t>GNF324R</t>
  </si>
  <si>
    <t>Square D</t>
  </si>
  <si>
    <t>D222NRB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</si>
</sst>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70C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0" xfId="0" applyFill="1"/>
    <xf numFmtId="49" fontId="0" fillId="0" borderId="0" xfId="0" quotePrefix="1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2" xfId="0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border>
        <left/>
        <right/>
        <top/>
        <bottom/>
      </border>
    </dxf>
    <dxf>
      <border>
        <left style="thin">
          <color rgb="FF000000"/>
        </left>
        <right style="thin">
          <color rgb="FF000000"/>
        </right>
        <vertical style="thin">
          <color rgb="FF000000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gan\Dropbox\Skyfire%20App\Latest%20Calc%20Template\Skyfire%20Calc%20V8.1%20(Master)_Template.xlsx" TargetMode="External"/><Relationship Id="rId1" Type="http://schemas.openxmlformats.org/officeDocument/2006/relationships/externalLinkPath" Target="/Users/logan/Dropbox/Skyfire%20App/Latest%20Calc%20Template/Skyfire%20Calc%20V8.1%20(Master)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S"/>
      <sheetName val="AHJ"/>
      <sheetName val="Sheet1"/>
      <sheetName val="Optimizers"/>
      <sheetName val="Data_Utility (2)"/>
      <sheetName val="Utility"/>
      <sheetName val="Rail_MtgHrdwre"/>
      <sheetName val="Data_MeterSocketAdapters"/>
      <sheetName val="Skyfire Calc V6.0"/>
      <sheetName val="Data_Combiner Panels"/>
      <sheetName val="Data_Utility"/>
      <sheetName val="Data_ConduitSizes"/>
      <sheetName val="Data_TempDerateFactor"/>
      <sheetName val="Data_Weather By Zip"/>
      <sheetName val="Data_Conduit Height"/>
      <sheetName val="Data_WireAmpacities"/>
      <sheetName val="Data_MountingHardware"/>
      <sheetName val="Data_WireAreas"/>
      <sheetName val="Data_WindPressures"/>
      <sheetName val="Data_Roofing"/>
      <sheetName val="Data_Lumber"/>
      <sheetName val="Data_RailProperties"/>
      <sheetName val="Data_OCP"/>
      <sheetName val="Data_ConduitFillDerateFactors"/>
      <sheetName val="Data_VOCCorrectionFactors"/>
      <sheetName val="Data_PipeRackMaterials"/>
      <sheetName val="Data_Constants"/>
      <sheetName val="Data_Storage"/>
      <sheetName val="Data_Property"/>
      <sheetName val="Data_BOS"/>
      <sheetName val="Data_Module"/>
      <sheetName val="Data_EGCWireSize"/>
      <sheetName val="Data_Installer"/>
      <sheetName val="Data_Inverters"/>
      <sheetName val="Equipment Fields for DB"/>
      <sheetName val="BOS Ordering"/>
      <sheetName val="Intake"/>
      <sheetName val="AC_PowerWall_Calc"/>
      <sheetName val="SRP Config"/>
      <sheetName val="Sheet2"/>
      <sheetName val="Scope of Work"/>
      <sheetName val="Export 1"/>
      <sheetName val="APS Delta"/>
      <sheetName val="Position 1"/>
      <sheetName val="Position 2"/>
      <sheetName val="Position 3"/>
      <sheetName val="Title Blocks"/>
      <sheetName val="BOS Calc"/>
      <sheetName val="Legend &amp; BOS Icon"/>
      <sheetName val="Conductor Callouts"/>
      <sheetName val="APS_SRPFault_Conductor"/>
      <sheetName val="Spec Sheet Index"/>
      <sheetName val="System 1"/>
      <sheetName val="Plan Set ExportR1"/>
      <sheetName val="Data_UtilityNotes"/>
      <sheetName val="Calc_Utility"/>
      <sheetName val="Position 3Backup"/>
      <sheetName val="Combine"/>
      <sheetName val="Main Panel"/>
      <sheetName val="SCalc_Structural Roof Type A"/>
      <sheetName val="SCalc_Structural Roof Type B"/>
      <sheetName val="Mounting Planes"/>
      <sheetName val="Compliance"/>
      <sheetName val="Hoymi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74">
          <cell r="B74">
            <v>0</v>
          </cell>
        </row>
        <row r="75">
          <cell r="B75" t="str">
            <v/>
          </cell>
        </row>
        <row r="81">
          <cell r="B81">
            <v>0</v>
          </cell>
        </row>
        <row r="82">
          <cell r="B82" t="str">
            <v>0</v>
          </cell>
        </row>
      </sheetData>
      <sheetData sheetId="44"/>
      <sheetData sheetId="45"/>
      <sheetData sheetId="46"/>
      <sheetData sheetId="47">
        <row r="3">
          <cell r="J3" t="str">
            <v/>
          </cell>
        </row>
        <row r="4">
          <cell r="J4" t="str">
            <v/>
          </cell>
        </row>
        <row r="5">
          <cell r="J5" t="str">
            <v/>
          </cell>
        </row>
        <row r="6">
          <cell r="J6" t="str">
            <v/>
          </cell>
        </row>
        <row r="7">
          <cell r="J7" t="str">
            <v/>
          </cell>
        </row>
        <row r="8">
          <cell r="B8" t="e">
            <v>#VALUE!</v>
          </cell>
          <cell r="J8" t="str">
            <v/>
          </cell>
        </row>
        <row r="10">
          <cell r="J10" t="str">
            <v>Equipment Type</v>
          </cell>
        </row>
        <row r="11">
          <cell r="J11" t="str">
            <v/>
          </cell>
        </row>
        <row r="12">
          <cell r="J12" t="str">
            <v/>
          </cell>
        </row>
        <row r="13">
          <cell r="J13" t="str">
            <v/>
          </cell>
        </row>
        <row r="14">
          <cell r="J14" t="str">
            <v/>
          </cell>
        </row>
        <row r="15">
          <cell r="J15" t="str">
            <v/>
          </cell>
        </row>
        <row r="16">
          <cell r="J16" t="str">
            <v/>
          </cell>
        </row>
      </sheetData>
      <sheetData sheetId="48"/>
      <sheetData sheetId="49"/>
      <sheetData sheetId="50"/>
      <sheetData sheetId="51"/>
      <sheetData sheetId="52"/>
      <sheetData sheetId="53">
        <row r="10">
          <cell r="E10">
            <v>0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4D2A9-9CEC-4255-8166-F58819DD39AF}" name="Data_BOS" displayName="Data_BOS" ref="A1:E299" totalsRowShown="0" headerRowDxfId="1" tableBorderDxfId="0">
  <autoFilter ref="A1:E299" xr:uid="{00000000-0009-0000-0100-00001B000000}"/>
  <sortState xmlns:xlrd2="http://schemas.microsoft.com/office/spreadsheetml/2017/richdata2" ref="A2:D43">
    <sortCondition ref="A2:A43"/>
    <sortCondition ref="B2:B43"/>
    <sortCondition ref="C2:C43"/>
  </sortState>
  <tableColumns count="5">
    <tableColumn id="1" xr3:uid="{B8C7CA70-308F-47CE-90D5-17894D1AFD3C}" name="Equipment Type"/>
    <tableColumn id="2" xr3:uid="{63721533-F543-41C8-A5A5-BF6241F3397D}" name="Make"/>
    <tableColumn id="3" xr3:uid="{18BF7290-607C-433E-93E1-F93740000469}" name="Model"/>
    <tableColumn id="4" xr3:uid="{69F1A9F8-81FE-42FC-99FE-86001DEA3C38}" name="Amp Rating"/>
    <tableColumn id="7" xr3:uid="{C5D11FCE-C611-475D-AD79-29BBD1871A0E}" name="Utility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9ABC4F-3132-463F-B92D-48078671DB2B}" name="Table140" displayName="Table140" ref="G2:H39" totalsRowShown="0">
  <autoFilter ref="G2:H39" xr:uid="{00000000-0009-0000-0100-00001C000000}"/>
  <sortState xmlns:xlrd2="http://schemas.microsoft.com/office/spreadsheetml/2017/richdata2" ref="G3:H19">
    <sortCondition ref="H2:H19"/>
  </sortState>
  <tableColumns count="2">
    <tableColumn id="1" xr3:uid="{F7DB05B7-6310-48EA-BD0D-52A218D128A0}" name="Variation"/>
    <tableColumn id="2" xr3:uid="{6F2CBD63-7ABB-417C-95CC-0093B59FD99A}" name="Standard Nam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0B26-F120-4F7E-86AB-E0A05756BD4C}">
  <sheetPr>
    <tabColor theme="6"/>
  </sheetPr>
  <dimension ref="A1:T299"/>
  <sheetViews>
    <sheetView tabSelected="1" workbookViewId="0">
      <selection activeCell="A7" sqref="A7"/>
    </sheetView>
  </sheetViews>
  <sheetFormatPr defaultRowHeight="15" x14ac:dyDescent="0.25"/>
  <cols>
    <col min="1" max="1" width="66.85546875" customWidth="1"/>
    <col min="2" max="2" width="67.140625" customWidth="1"/>
    <col min="3" max="3" width="59.42578125" bestFit="1" customWidth="1"/>
    <col min="4" max="4" width="17.140625" bestFit="1" customWidth="1"/>
    <col min="7" max="7" width="7.140625" customWidth="1"/>
    <col min="8" max="8" width="36.28515625" bestFit="1" customWidth="1"/>
    <col min="9" max="9" width="19.5703125" bestFit="1" customWidth="1"/>
    <col min="10" max="10" width="5.7109375" customWidth="1"/>
    <col min="11" max="11" width="34.5703125" bestFit="1" customWidth="1"/>
    <col min="12" max="12" width="19.42578125" customWidth="1"/>
    <col min="15" max="15" width="21.5703125" bestFit="1" customWidth="1"/>
    <col min="16" max="16" width="2.85546875" customWidth="1"/>
    <col min="17" max="17" width="20.5703125" bestFit="1" customWidth="1"/>
    <col min="18" max="18" width="16.140625" bestFit="1" customWidth="1"/>
    <col min="19" max="19" width="16.140625" customWidth="1"/>
    <col min="20" max="20" width="10.140625" bestFit="1" customWidth="1"/>
    <col min="21" max="21" width="7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G1" t="s">
        <v>5</v>
      </c>
      <c r="J1" t="s">
        <v>6</v>
      </c>
      <c r="L1">
        <f t="array" ref="L1">[1]!IntakeTable[Installer]</f>
        <v>0</v>
      </c>
      <c r="M1">
        <f t="array" ref="M1">[1]!IntakeTable[site_state]</f>
        <v>0</v>
      </c>
      <c r="N1" t="str">
        <f>L1&amp;" "&amp;M1</f>
        <v>0 0</v>
      </c>
      <c r="P1" t="str">
        <f ca="1">'[1]BOS Calc'!J3</f>
        <v/>
      </c>
      <c r="Q1" t="str">
        <f ca="1">_xlfn.XLOOKUP(P1,Table140[Variation],Table140[Standard Name],"")</f>
        <v/>
      </c>
      <c r="R1" t="e">
        <f ca="1">INDEX([1]!Data_Installer[[AC Disconnect]:[Utility]],MATCH($N$1,[1]!Data_Installer[Initials],0),MATCH(Q1,{"AC Disconnect","PV Meter","Combiner Panel","Junction Box","Fused AC Disconnect"},0))</f>
        <v>#N/A</v>
      </c>
      <c r="S1" t="e">
        <f t="array" aca="1" ref="S1" ca="1">INDEX($D$2:$D$993,MATCH(1,($A$2:$A$993=P1)*(#REF!=R1)*($E$2:$E$993=T1),0))</f>
        <v>#N/A</v>
      </c>
      <c r="T1" t="e">
        <f t="array" aca="1" ref="T1" ca="1">SMALL(IF(($A$2:$A$993=P1)*($E$2:$E$993&gt;='[1]BOS Calc'!$B$8),$E$2:$E$993),1)</f>
        <v>#VALUE!</v>
      </c>
    </row>
    <row r="2" spans="1:20" x14ac:dyDescent="0.25">
      <c r="A2" t="s">
        <v>7</v>
      </c>
      <c r="B2" t="s">
        <v>8</v>
      </c>
      <c r="C2" t="s">
        <v>9</v>
      </c>
      <c r="D2">
        <v>30</v>
      </c>
      <c r="E2" t="s">
        <v>10</v>
      </c>
      <c r="G2" t="s">
        <v>11</v>
      </c>
      <c r="H2" t="s">
        <v>12</v>
      </c>
      <c r="J2" t="s">
        <v>13</v>
      </c>
      <c r="K2">
        <f>'[1]Plan Set ExportR1'!E10</f>
        <v>0</v>
      </c>
      <c r="P2" t="str">
        <f ca="1">'[1]BOS Calc'!J4</f>
        <v/>
      </c>
      <c r="Q2" t="str">
        <f ca="1">_xlfn.XLOOKUP(P2,Table140[Variation],Table140[Standard Name],"")</f>
        <v/>
      </c>
      <c r="R2" t="e">
        <f ca="1">INDEX([1]!Data_Installer[[AC Disconnect]:[Utility]],MATCH($N$1,[1]!Data_Installer[Initials],0),MATCH(Q2,{"AC Disconnect","PV Meter","Combiner Panel","Junction Box","Fused AC Disconnect"},0))</f>
        <v>#N/A</v>
      </c>
      <c r="S2" t="e">
        <f t="array" aca="1" ref="S2" ca="1">INDEX($D$2:$D$993,MATCH(1,($A$2:$A$993=P2)*(#REF!=R2)*($E$2:$E$993=T2),0))</f>
        <v>#N/A</v>
      </c>
      <c r="T2" t="e">
        <f t="array" aca="1" ref="T2" ca="1">SMALL(IF(($A$2:$A$993=P2)*($E$2:$E$993&gt;='[1]BOS Calc'!$B$8),$E$2:$E$993),1)</f>
        <v>#VALUE!</v>
      </c>
    </row>
    <row r="3" spans="1:20" x14ac:dyDescent="0.25">
      <c r="A3" t="s">
        <v>7</v>
      </c>
      <c r="B3" t="s">
        <v>8</v>
      </c>
      <c r="C3" t="s">
        <v>14</v>
      </c>
      <c r="D3">
        <v>60</v>
      </c>
      <c r="E3" t="s">
        <v>10</v>
      </c>
      <c r="G3" t="s">
        <v>15</v>
      </c>
      <c r="H3" t="s">
        <v>16</v>
      </c>
      <c r="J3" t="s">
        <v>17</v>
      </c>
      <c r="K3" t="str">
        <f>IF(AND(OR('[1]Position 1'!B74=0,'[1]Position 1'!B74="0")=TRUE,OR('[1]Position 1'!B81=0,'[1]Position 1'!B81="0")=TRUE)=TRUE,"No","Yes")</f>
        <v>No</v>
      </c>
      <c r="P3" t="str">
        <f ca="1">'[1]BOS Calc'!J5</f>
        <v/>
      </c>
      <c r="Q3" t="str">
        <f ca="1">_xlfn.XLOOKUP(P3,Table140[Variation],Table140[Standard Name],"")</f>
        <v/>
      </c>
      <c r="R3" t="e">
        <f ca="1">INDEX([1]!Data_Installer[[AC Disconnect]:[Utility]],MATCH($N$1,[1]!Data_Installer[Initials],0),MATCH(Q3,{"AC Disconnect","PV Meter","Combiner Panel","Junction Box","Fused AC Disconnect"},0))</f>
        <v>#N/A</v>
      </c>
      <c r="S3" t="e">
        <f t="array" aca="1" ref="S3" ca="1">INDEX($D$2:$D$993,MATCH(1,($A$2:$A$993=P3)*(#REF!=R3)*($E$2:$E$993=T3),0))</f>
        <v>#N/A</v>
      </c>
      <c r="T3" t="e">
        <f t="array" aca="1" ref="T3" ca="1">SMALL(IF(($A$2:$A$993=P3)*($E$2:$E$993&gt;='[1]BOS Calc'!$B$8),$E$2:$E$993),1)</f>
        <v>#VALUE!</v>
      </c>
    </row>
    <row r="4" spans="1:20" x14ac:dyDescent="0.25">
      <c r="A4" t="s">
        <v>7</v>
      </c>
      <c r="B4" t="s">
        <v>8</v>
      </c>
      <c r="C4" t="s">
        <v>18</v>
      </c>
      <c r="D4">
        <v>100</v>
      </c>
      <c r="E4" t="s">
        <v>10</v>
      </c>
      <c r="G4" t="s">
        <v>19</v>
      </c>
      <c r="H4" t="s">
        <v>16</v>
      </c>
      <c r="J4" t="s">
        <v>20</v>
      </c>
      <c r="K4" t="str">
        <f>'[1]Position 1'!B75</f>
        <v/>
      </c>
      <c r="P4" t="str">
        <f ca="1">'[1]BOS Calc'!J6</f>
        <v/>
      </c>
      <c r="Q4" t="str">
        <f ca="1">_xlfn.XLOOKUP(P4,Table140[Variation],Table140[Standard Name],"")</f>
        <v/>
      </c>
      <c r="R4" t="e">
        <f ca="1">INDEX([1]!Data_Installer[[AC Disconnect]:[Utility]],MATCH($N$1,[1]!Data_Installer[Initials],0),MATCH(Q4,{"AC Disconnect","PV Meter","Combiner Panel","Junction Box","Fused AC Disconnect"},0))</f>
        <v>#N/A</v>
      </c>
      <c r="S4" t="e">
        <f t="array" aca="1" ref="S4" ca="1">INDEX($D$2:$D$993,MATCH(1,($A$2:$A$993=P4)*(#REF!=R4)*($E$2:$E$993=T4),0))</f>
        <v>#N/A</v>
      </c>
      <c r="T4" t="e">
        <f t="array" aca="1" ref="T4" ca="1">SMALL(IF(($A$2:$A$993=P4)*($E$2:$E$993&gt;='[1]BOS Calc'!$B$8),$E$2:$E$993),1)</f>
        <v>#VALUE!</v>
      </c>
    </row>
    <row r="5" spans="1:20" x14ac:dyDescent="0.25">
      <c r="A5" t="s">
        <v>7</v>
      </c>
      <c r="B5" t="s">
        <v>8</v>
      </c>
      <c r="C5" t="s">
        <v>21</v>
      </c>
      <c r="D5">
        <v>200</v>
      </c>
      <c r="E5" t="s">
        <v>10</v>
      </c>
      <c r="G5" t="s">
        <v>7</v>
      </c>
      <c r="H5" t="s">
        <v>7</v>
      </c>
      <c r="J5" t="s">
        <v>22</v>
      </c>
      <c r="K5" t="str">
        <f>'[1]Position 1'!B82</f>
        <v>0</v>
      </c>
      <c r="P5" t="str">
        <f ca="1">'[1]BOS Calc'!J7</f>
        <v/>
      </c>
      <c r="Q5" t="str">
        <f ca="1">_xlfn.XLOOKUP(P5,Table140[Variation],Table140[Standard Name],"")</f>
        <v/>
      </c>
      <c r="R5" t="e">
        <f ca="1">INDEX([1]!Data_Installer[[AC Disconnect]:[Utility]],MATCH($N$1,[1]!Data_Installer[Initials],0),MATCH(Q5,{"AC Disconnect","PV Meter","Combiner Panel","Junction Box","Fused AC Disconnect"},0))</f>
        <v>#N/A</v>
      </c>
      <c r="S5" t="e">
        <f t="array" aca="1" ref="S5" ca="1">INDEX($D$2:$D$993,MATCH(1,($A$2:$A$993=P5)*(#REF!=R5)*($E$2:$E$993=T5),0))</f>
        <v>#N/A</v>
      </c>
      <c r="T5" t="e">
        <f t="array" aca="1" ref="T5" ca="1">SMALL(IF(($A$2:$A$993=P5)*($E$2:$E$993&gt;='[1]BOS Calc'!$B$8),$E$2:$E$993),1)</f>
        <v>#VALUE!</v>
      </c>
    </row>
    <row r="6" spans="1:20" x14ac:dyDescent="0.25">
      <c r="A6" t="s">
        <v>7</v>
      </c>
      <c r="B6" t="s">
        <v>23</v>
      </c>
      <c r="C6" t="s">
        <v>9</v>
      </c>
      <c r="D6">
        <v>30</v>
      </c>
      <c r="E6" t="s">
        <v>10</v>
      </c>
      <c r="G6" t="s">
        <v>24</v>
      </c>
      <c r="H6" t="s">
        <v>25</v>
      </c>
      <c r="J6" t="s">
        <v>26</v>
      </c>
      <c r="K6" t="str">
        <f>_xlfn.XLOOKUP(K4,[1]!Table71[Manufacturer/Model],[1]!Table71[Couple Type],"")</f>
        <v/>
      </c>
      <c r="P6" t="str">
        <f ca="1">'[1]BOS Calc'!J8</f>
        <v/>
      </c>
      <c r="Q6" t="str">
        <f ca="1">_xlfn.XLOOKUP(P6,Table140[Variation],Table140[Standard Name],"")</f>
        <v/>
      </c>
      <c r="R6" t="e">
        <f ca="1">INDEX([1]!Data_Installer[[AC Disconnect]:[Utility]],MATCH($N$1,[1]!Data_Installer[Initials],0),MATCH(Q6,{"AC Disconnect","PV Meter","Combiner Panel","Junction Box","Fused AC Disconnect"},0))</f>
        <v>#N/A</v>
      </c>
      <c r="S6" t="e">
        <f t="array" aca="1" ref="S6" ca="1">INDEX($D$2:$D$993,MATCH(1,($A$2:$A$993=P6)*(#REF!=R6)*($E$2:$E$993=T6),0))</f>
        <v>#N/A</v>
      </c>
      <c r="T6" t="e">
        <f t="array" aca="1" ref="T6" ca="1">SMALL(IF(($A$2:$A$993=P6)*($E$2:$E$993&gt;='[1]BOS Calc'!$B$8),$E$2:$E$993),1)</f>
        <v>#VALUE!</v>
      </c>
    </row>
    <row r="7" spans="1:20" x14ac:dyDescent="0.25">
      <c r="A7" t="s">
        <v>7</v>
      </c>
      <c r="B7" t="s">
        <v>23</v>
      </c>
      <c r="C7" t="s">
        <v>14</v>
      </c>
      <c r="D7">
        <v>60</v>
      </c>
      <c r="E7" t="s">
        <v>10</v>
      </c>
      <c r="G7" t="s">
        <v>27</v>
      </c>
      <c r="H7" t="s">
        <v>7</v>
      </c>
      <c r="P7">
        <f>'[1]BOS Calc'!J9</f>
        <v>0</v>
      </c>
      <c r="Q7" t="str">
        <f>_xlfn.XLOOKUP(P7,Table140[Variation],Table140[Standard Name],"")</f>
        <v/>
      </c>
      <c r="R7" t="e">
        <f>INDEX([1]!Data_Installer[[AC Disconnect]:[Utility]],MATCH($N$1,[1]!Data_Installer[Initials],0),MATCH(Q7,{"AC Disconnect","PV Meter","Combiner Panel","Junction Box","Fused AC Disconnect"},0))</f>
        <v>#N/A</v>
      </c>
      <c r="S7" t="e">
        <f t="array" ref="S7">INDEX($D$2:$D$993,MATCH(1,($A$2:$A$993=P7)*(#REF!=R7)*($E$2:$E$993=T7),0))</f>
        <v>#N/A</v>
      </c>
      <c r="T7" t="e">
        <f t="array" ref="T7">SMALL(IF(($A$2:$A$993=P7)*($E$2:$E$993&gt;='[1]BOS Calc'!$B$8),$E$2:$E$993),1)</f>
        <v>#VALUE!</v>
      </c>
    </row>
    <row r="8" spans="1:20" x14ac:dyDescent="0.25">
      <c r="A8" t="s">
        <v>7</v>
      </c>
      <c r="B8" t="s">
        <v>23</v>
      </c>
      <c r="C8" t="s">
        <v>28</v>
      </c>
      <c r="D8">
        <v>100</v>
      </c>
      <c r="E8" t="s">
        <v>10</v>
      </c>
      <c r="G8" t="s">
        <v>29</v>
      </c>
      <c r="H8" t="s">
        <v>7</v>
      </c>
      <c r="P8" t="str">
        <f>'[1]BOS Calc'!J10</f>
        <v>Equipment Type</v>
      </c>
      <c r="Q8" t="str">
        <f>_xlfn.XLOOKUP(P8,Table140[Variation],Table140[Standard Name],"")</f>
        <v/>
      </c>
      <c r="R8" t="e">
        <f>INDEX([1]!Data_Installer[[AC Disconnect]:[Utility]],MATCH($N$1,[1]!Data_Installer[Initials],0),MATCH(Q8,{"AC Disconnect","PV Meter","Combiner Panel","Junction Box","Fused AC Disconnect"},0))</f>
        <v>#N/A</v>
      </c>
      <c r="S8" t="e">
        <f t="array" ref="S8">INDEX($D$2:$D$993,MATCH(1,($A$2:$A$993=P8)*(#REF!=R8)*($E$2:$E$993=T8),0))</f>
        <v>#N/A</v>
      </c>
      <c r="T8" t="e">
        <f t="array" ref="T8">SMALL(IF(($A$2:$A$993=P8)*($E$2:$E$993&gt;='[1]BOS Calc'!$B$8),$E$2:$E$993),1)</f>
        <v>#VALUE!</v>
      </c>
    </row>
    <row r="9" spans="1:20" x14ac:dyDescent="0.25">
      <c r="A9" t="s">
        <v>7</v>
      </c>
      <c r="B9" t="s">
        <v>23</v>
      </c>
      <c r="C9" t="s">
        <v>21</v>
      </c>
      <c r="D9">
        <v>200</v>
      </c>
      <c r="E9" t="s">
        <v>10</v>
      </c>
      <c r="G9" t="s">
        <v>30</v>
      </c>
      <c r="H9" t="s">
        <v>7</v>
      </c>
      <c r="P9" t="str">
        <f ca="1">'[1]BOS Calc'!J11</f>
        <v/>
      </c>
      <c r="Q9" t="str">
        <f ca="1">_xlfn.XLOOKUP(P9,Table140[Variation],Table140[Standard Name],"")</f>
        <v/>
      </c>
      <c r="R9" t="e">
        <f ca="1">INDEX([1]!Data_Installer[[AC Disconnect]:[Utility]],MATCH($N$1,[1]!Data_Installer[Initials],0),MATCH(Q9,{"AC Disconnect","PV Meter","Combiner Panel","Junction Box","Fused AC Disconnect"},0))</f>
        <v>#N/A</v>
      </c>
      <c r="S9" t="e">
        <f t="array" aca="1" ref="S9" ca="1">INDEX($D$2:$D$993,MATCH(1,($A$2:$A$993=P9)*(#REF!=R9)*($E$2:$E$993=T9),0))</f>
        <v>#N/A</v>
      </c>
      <c r="T9" t="e">
        <f t="array" aca="1" ref="T9" ca="1">SMALL(IF(($A$2:$A$993=P9)*($E$2:$E$993&gt;='[1]BOS Calc'!$B$8),$E$2:$E$993),1)</f>
        <v>#VALUE!</v>
      </c>
    </row>
    <row r="10" spans="1:20" x14ac:dyDescent="0.25">
      <c r="A10" t="s">
        <v>7</v>
      </c>
      <c r="B10" t="s">
        <v>31</v>
      </c>
      <c r="C10" t="s">
        <v>32</v>
      </c>
      <c r="D10">
        <v>200</v>
      </c>
      <c r="E10" t="s">
        <v>10</v>
      </c>
      <c r="G10" t="s">
        <v>33</v>
      </c>
      <c r="H10" t="s">
        <v>16</v>
      </c>
      <c r="P10" t="str">
        <f ca="1">'[1]BOS Calc'!J12</f>
        <v/>
      </c>
      <c r="Q10" t="str">
        <f ca="1">_xlfn.XLOOKUP(P10,Table140[Variation],Table140[Standard Name],"")</f>
        <v/>
      </c>
      <c r="R10" t="e">
        <f ca="1">INDEX([1]!Data_Installer[[AC Disconnect]:[Utility]],MATCH($N$1,[1]!Data_Installer[Initials],0),MATCH(Q10,{"AC Disconnect","PV Meter","Combiner Panel","Junction Box","Fused AC Disconnect"},0))</f>
        <v>#N/A</v>
      </c>
      <c r="S10" t="e">
        <f t="array" aca="1" ref="S10" ca="1">INDEX($D$2:$D$993,MATCH(1,($A$2:$A$993=P10)*(#REF!=R10)*($E$2:$E$993=T10),0))</f>
        <v>#N/A</v>
      </c>
      <c r="T10" t="e">
        <f t="array" aca="1" ref="T10" ca="1">SMALL(IF(($A$2:$A$993=P10)*($E$2:$E$993&gt;='[1]BOS Calc'!$B$8),$E$2:$E$993),1)</f>
        <v>#VALUE!</v>
      </c>
    </row>
    <row r="11" spans="1:20" x14ac:dyDescent="0.25">
      <c r="A11" t="s">
        <v>7</v>
      </c>
      <c r="B11" t="s">
        <v>31</v>
      </c>
      <c r="C11" t="s">
        <v>34</v>
      </c>
      <c r="D11">
        <v>100</v>
      </c>
      <c r="E11" t="s">
        <v>10</v>
      </c>
      <c r="G11" t="s">
        <v>16</v>
      </c>
      <c r="H11" t="s">
        <v>16</v>
      </c>
      <c r="P11" t="str">
        <f ca="1">'[1]BOS Calc'!J13</f>
        <v/>
      </c>
      <c r="Q11" t="str">
        <f ca="1">_xlfn.XLOOKUP(P11,Table140[Variation],Table140[Standard Name],"")</f>
        <v/>
      </c>
      <c r="R11" t="e">
        <f ca="1">INDEX([1]!Data_Installer[[AC Disconnect]:[Utility]],MATCH($N$1,[1]!Data_Installer[Initials],0),MATCH(Q11,{"AC Disconnect","PV Meter","Combiner Panel","Junction Box","Fused AC Disconnect"},0))</f>
        <v>#N/A</v>
      </c>
      <c r="S11" t="e">
        <f t="array" aca="1" ref="S11" ca="1">INDEX($D$2:$D$993,MATCH(1,($A$2:$A$993=P11)*(#REF!=R11)*($E$2:$E$993=T11),0))</f>
        <v>#N/A</v>
      </c>
      <c r="T11" t="e">
        <f t="array" aca="1" ref="T11" ca="1">SMALL(IF(($A$2:$A$993=P11)*($E$2:$E$993&gt;='[1]BOS Calc'!$B$8),$E$2:$E$993),1)</f>
        <v>#VALUE!</v>
      </c>
    </row>
    <row r="12" spans="1:20" x14ac:dyDescent="0.25">
      <c r="A12" t="s">
        <v>7</v>
      </c>
      <c r="B12" t="s">
        <v>31</v>
      </c>
      <c r="C12" t="s">
        <v>35</v>
      </c>
      <c r="D12">
        <v>30</v>
      </c>
      <c r="E12" t="s">
        <v>10</v>
      </c>
      <c r="G12" t="s">
        <v>36</v>
      </c>
      <c r="H12" t="s">
        <v>36</v>
      </c>
      <c r="P12" t="str">
        <f ca="1">'[1]BOS Calc'!J14</f>
        <v/>
      </c>
      <c r="Q12" t="str">
        <f ca="1">_xlfn.XLOOKUP(P12,Table140[Variation],Table140[Standard Name],"")</f>
        <v/>
      </c>
      <c r="R12" t="e">
        <f ca="1">INDEX([1]!Data_Installer[[AC Disconnect]:[Utility]],MATCH($N$1,[1]!Data_Installer[Initials],0),MATCH(Q12,{"AC Disconnect","PV Meter","Combiner Panel","Junction Box","Fused AC Disconnect"},0))</f>
        <v>#N/A</v>
      </c>
      <c r="S12" t="e">
        <f t="array" aca="1" ref="S12" ca="1">INDEX($D$2:$D$993,MATCH(1,($A$2:$A$993=P12)*(#REF!=R12)*($E$2:$E$993=T12),0))</f>
        <v>#N/A</v>
      </c>
      <c r="T12" t="e">
        <f t="array" aca="1" ref="T12" ca="1">SMALL(IF(($A$2:$A$993=P12)*($E$2:$E$993&gt;='[1]BOS Calc'!$B$8),$E$2:$E$993),1)</f>
        <v>#VALUE!</v>
      </c>
    </row>
    <row r="13" spans="1:20" x14ac:dyDescent="0.25">
      <c r="A13" t="s">
        <v>7</v>
      </c>
      <c r="B13" t="s">
        <v>31</v>
      </c>
      <c r="C13" t="s">
        <v>37</v>
      </c>
      <c r="D13">
        <v>60</v>
      </c>
      <c r="E13" t="s">
        <v>10</v>
      </c>
      <c r="G13" t="s">
        <v>38</v>
      </c>
      <c r="H13" t="s">
        <v>38</v>
      </c>
      <c r="P13" t="str">
        <f ca="1">'[1]BOS Calc'!J15</f>
        <v/>
      </c>
      <c r="R13" t="e">
        <f>INDEX([1]!Data_Installer[[AC Disconnect]:[Utility]],MATCH($N$1,[1]!Data_Installer[Initials],0),MATCH(Q13,{"AC Disconnect","PV Meter","Combiner Panel","Junction Box","Fused AC Disconnect"},0))</f>
        <v>#N/A</v>
      </c>
      <c r="T13" t="e">
        <f t="array" aca="1" ref="T13" ca="1">SMALL(IF(($A$2:$A$993=P13)*($E$2:$E$993&gt;='[1]BOS Calc'!$B$8),$E$2:$E$993),1)</f>
        <v>#VALUE!</v>
      </c>
    </row>
    <row r="14" spans="1:20" x14ac:dyDescent="0.25">
      <c r="A14" t="s">
        <v>7</v>
      </c>
      <c r="B14" t="s">
        <v>39</v>
      </c>
      <c r="C14" t="s">
        <v>40</v>
      </c>
      <c r="D14">
        <v>30</v>
      </c>
      <c r="E14" t="s">
        <v>10</v>
      </c>
      <c r="G14" t="s">
        <v>41</v>
      </c>
      <c r="H14" t="s">
        <v>42</v>
      </c>
      <c r="P14" t="str">
        <f ca="1">'[1]BOS Calc'!J16</f>
        <v/>
      </c>
      <c r="R14" t="e">
        <f>INDEX([1]!Data_Installer[[AC Disconnect]:[Utility]],MATCH($N$1,[1]!Data_Installer[Initials],0),MATCH(Q14,{"AC Disconnect","PV Meter","Combiner Panel","Junction Box","Fused AC Disconnect"},0))</f>
        <v>#N/A</v>
      </c>
    </row>
    <row r="15" spans="1:20" x14ac:dyDescent="0.25">
      <c r="A15" t="s">
        <v>7</v>
      </c>
      <c r="B15" t="s">
        <v>39</v>
      </c>
      <c r="C15" t="s">
        <v>43</v>
      </c>
      <c r="D15">
        <v>60</v>
      </c>
      <c r="E15" t="s">
        <v>10</v>
      </c>
      <c r="G15" t="s">
        <v>44</v>
      </c>
      <c r="H15" t="s">
        <v>45</v>
      </c>
      <c r="P15">
        <f>'[1]BOS Calc'!J19</f>
        <v>0</v>
      </c>
      <c r="R15" t="e">
        <f>INDEX([1]!Data_Installer[[AC Disconnect]:[Utility]],MATCH($N$1,[1]!Data_Installer[Initials],0),MATCH(Q15,{"AC Disconnect","PV Meter","Combiner Panel","Junction Box","Fused AC Disconnect"},0))</f>
        <v>#N/A</v>
      </c>
    </row>
    <row r="16" spans="1:20" x14ac:dyDescent="0.25">
      <c r="A16" t="s">
        <v>7</v>
      </c>
      <c r="B16" t="s">
        <v>39</v>
      </c>
      <c r="C16" t="s">
        <v>46</v>
      </c>
      <c r="D16">
        <v>100</v>
      </c>
      <c r="E16" t="s">
        <v>10</v>
      </c>
      <c r="G16" t="s">
        <v>47</v>
      </c>
      <c r="H16" t="s">
        <v>45</v>
      </c>
    </row>
    <row r="17" spans="1:8" x14ac:dyDescent="0.25">
      <c r="A17" t="s">
        <v>7</v>
      </c>
      <c r="B17" t="s">
        <v>39</v>
      </c>
      <c r="C17" t="s">
        <v>32</v>
      </c>
      <c r="D17">
        <v>200</v>
      </c>
      <c r="E17" t="s">
        <v>10</v>
      </c>
      <c r="G17" t="s">
        <v>45</v>
      </c>
      <c r="H17" t="s">
        <v>45</v>
      </c>
    </row>
    <row r="18" spans="1:8" x14ac:dyDescent="0.25">
      <c r="A18" t="s">
        <v>7</v>
      </c>
      <c r="B18" t="s">
        <v>39</v>
      </c>
      <c r="C18" t="s">
        <v>46</v>
      </c>
      <c r="D18">
        <v>100</v>
      </c>
      <c r="E18" t="s">
        <v>10</v>
      </c>
      <c r="G18" t="s">
        <v>48</v>
      </c>
      <c r="H18" t="s">
        <v>49</v>
      </c>
    </row>
    <row r="19" spans="1:8" x14ac:dyDescent="0.25">
      <c r="A19" t="s">
        <v>16</v>
      </c>
      <c r="B19" t="s">
        <v>8</v>
      </c>
      <c r="C19" t="s">
        <v>50</v>
      </c>
      <c r="D19">
        <v>30</v>
      </c>
      <c r="E19" t="s">
        <v>10</v>
      </c>
      <c r="G19" t="s">
        <v>51</v>
      </c>
      <c r="H19" t="s">
        <v>45</v>
      </c>
    </row>
    <row r="20" spans="1:8" x14ac:dyDescent="0.25">
      <c r="A20" t="s">
        <v>16</v>
      </c>
      <c r="B20" t="s">
        <v>8</v>
      </c>
      <c r="C20" t="s">
        <v>52</v>
      </c>
      <c r="D20">
        <v>60</v>
      </c>
      <c r="E20" t="s">
        <v>10</v>
      </c>
      <c r="G20" t="s">
        <v>53</v>
      </c>
      <c r="H20" t="s">
        <v>7</v>
      </c>
    </row>
    <row r="21" spans="1:8" x14ac:dyDescent="0.25">
      <c r="A21" t="s">
        <v>16</v>
      </c>
      <c r="B21" t="s">
        <v>8</v>
      </c>
      <c r="C21" t="s">
        <v>54</v>
      </c>
      <c r="D21">
        <v>100</v>
      </c>
      <c r="E21" t="s">
        <v>10</v>
      </c>
      <c r="G21" t="s">
        <v>55</v>
      </c>
      <c r="H21" t="s">
        <v>45</v>
      </c>
    </row>
    <row r="22" spans="1:8" x14ac:dyDescent="0.25">
      <c r="A22" t="s">
        <v>16</v>
      </c>
      <c r="B22" t="s">
        <v>8</v>
      </c>
      <c r="C22" t="s">
        <v>56</v>
      </c>
      <c r="D22">
        <v>200</v>
      </c>
      <c r="E22" t="s">
        <v>10</v>
      </c>
      <c r="G22" t="s">
        <v>57</v>
      </c>
      <c r="H22" t="s">
        <v>7</v>
      </c>
    </row>
    <row r="23" spans="1:8" x14ac:dyDescent="0.25">
      <c r="A23" t="s">
        <v>16</v>
      </c>
      <c r="B23" t="s">
        <v>23</v>
      </c>
      <c r="C23" t="s">
        <v>50</v>
      </c>
      <c r="D23">
        <v>30</v>
      </c>
      <c r="E23" t="s">
        <v>10</v>
      </c>
      <c r="G23" t="s">
        <v>58</v>
      </c>
      <c r="H23" t="s">
        <v>58</v>
      </c>
    </row>
    <row r="24" spans="1:8" x14ac:dyDescent="0.25">
      <c r="A24" t="s">
        <v>16</v>
      </c>
      <c r="B24" t="s">
        <v>23</v>
      </c>
      <c r="C24" t="s">
        <v>52</v>
      </c>
      <c r="D24">
        <v>60</v>
      </c>
      <c r="E24" t="s">
        <v>10</v>
      </c>
      <c r="G24" t="s">
        <v>59</v>
      </c>
      <c r="H24" t="s">
        <v>16</v>
      </c>
    </row>
    <row r="25" spans="1:8" x14ac:dyDescent="0.25">
      <c r="A25" t="s">
        <v>16</v>
      </c>
      <c r="B25" t="s">
        <v>23</v>
      </c>
      <c r="C25" t="s">
        <v>54</v>
      </c>
      <c r="D25">
        <v>100</v>
      </c>
      <c r="E25" t="s">
        <v>10</v>
      </c>
      <c r="G25" t="s">
        <v>60</v>
      </c>
      <c r="H25" t="s">
        <v>16</v>
      </c>
    </row>
    <row r="26" spans="1:8" x14ac:dyDescent="0.25">
      <c r="A26" t="s">
        <v>16</v>
      </c>
      <c r="B26" t="s">
        <v>23</v>
      </c>
      <c r="C26" t="s">
        <v>56</v>
      </c>
      <c r="D26">
        <v>200</v>
      </c>
      <c r="E26" t="s">
        <v>10</v>
      </c>
      <c r="G26" t="s">
        <v>61</v>
      </c>
      <c r="H26" t="s">
        <v>61</v>
      </c>
    </row>
    <row r="27" spans="1:8" x14ac:dyDescent="0.25">
      <c r="A27" t="s">
        <v>16</v>
      </c>
      <c r="B27" t="s">
        <v>31</v>
      </c>
      <c r="C27" t="s">
        <v>62</v>
      </c>
      <c r="D27">
        <v>200</v>
      </c>
      <c r="E27" t="s">
        <v>10</v>
      </c>
      <c r="G27" t="s">
        <v>42</v>
      </c>
      <c r="H27" t="s">
        <v>42</v>
      </c>
    </row>
    <row r="28" spans="1:8" x14ac:dyDescent="0.25">
      <c r="A28" t="s">
        <v>16</v>
      </c>
      <c r="B28" t="s">
        <v>31</v>
      </c>
      <c r="C28" t="s">
        <v>63</v>
      </c>
      <c r="D28">
        <v>100</v>
      </c>
      <c r="E28" t="s">
        <v>10</v>
      </c>
      <c r="G28" t="s">
        <v>64</v>
      </c>
      <c r="H28" t="s">
        <v>65</v>
      </c>
    </row>
    <row r="29" spans="1:8" x14ac:dyDescent="0.25">
      <c r="A29" t="s">
        <v>16</v>
      </c>
      <c r="B29" t="s">
        <v>31</v>
      </c>
      <c r="C29" t="s">
        <v>66</v>
      </c>
      <c r="D29">
        <v>30</v>
      </c>
      <c r="E29" t="s">
        <v>10</v>
      </c>
      <c r="G29" t="s">
        <v>67</v>
      </c>
      <c r="H29" t="s">
        <v>65</v>
      </c>
    </row>
    <row r="30" spans="1:8" x14ac:dyDescent="0.25">
      <c r="A30" t="s">
        <v>16</v>
      </c>
      <c r="B30" t="s">
        <v>31</v>
      </c>
      <c r="C30" t="s">
        <v>68</v>
      </c>
      <c r="D30">
        <v>60</v>
      </c>
      <c r="E30" t="s">
        <v>10</v>
      </c>
      <c r="G30" t="s">
        <v>69</v>
      </c>
      <c r="H30" t="s">
        <v>65</v>
      </c>
    </row>
    <row r="31" spans="1:8" x14ac:dyDescent="0.25">
      <c r="A31" t="s">
        <v>16</v>
      </c>
      <c r="B31" t="s">
        <v>39</v>
      </c>
      <c r="C31" t="s">
        <v>70</v>
      </c>
      <c r="D31">
        <v>30</v>
      </c>
      <c r="E31" t="s">
        <v>10</v>
      </c>
      <c r="G31" t="s">
        <v>71</v>
      </c>
      <c r="H31" t="s">
        <v>65</v>
      </c>
    </row>
    <row r="32" spans="1:8" x14ac:dyDescent="0.25">
      <c r="A32" t="s">
        <v>36</v>
      </c>
      <c r="B32" t="s">
        <v>72</v>
      </c>
      <c r="C32" t="s">
        <v>73</v>
      </c>
      <c r="E32" t="s">
        <v>10</v>
      </c>
      <c r="G32" t="s">
        <v>74</v>
      </c>
      <c r="H32" t="s">
        <v>16</v>
      </c>
    </row>
    <row r="33" spans="1:8" x14ac:dyDescent="0.25">
      <c r="A33" t="s">
        <v>36</v>
      </c>
      <c r="B33" t="s">
        <v>75</v>
      </c>
      <c r="C33" s="2" t="s">
        <v>76</v>
      </c>
      <c r="D33">
        <v>100</v>
      </c>
      <c r="E33" t="s">
        <v>10</v>
      </c>
      <c r="G33" t="s">
        <v>77</v>
      </c>
      <c r="H33" t="s">
        <v>25</v>
      </c>
    </row>
    <row r="34" spans="1:8" x14ac:dyDescent="0.25">
      <c r="A34" t="s">
        <v>38</v>
      </c>
      <c r="B34" t="s">
        <v>23</v>
      </c>
      <c r="C34" s="2" t="s">
        <v>76</v>
      </c>
      <c r="D34">
        <v>100</v>
      </c>
      <c r="E34" t="s">
        <v>10</v>
      </c>
      <c r="G34" t="s">
        <v>78</v>
      </c>
      <c r="H34" t="s">
        <v>65</v>
      </c>
    </row>
    <row r="35" spans="1:8" x14ac:dyDescent="0.25">
      <c r="A35" t="s">
        <v>38</v>
      </c>
      <c r="B35" t="s">
        <v>23</v>
      </c>
      <c r="C35" t="s">
        <v>79</v>
      </c>
      <c r="D35">
        <v>125</v>
      </c>
      <c r="E35" t="s">
        <v>10</v>
      </c>
      <c r="G35" t="s">
        <v>80</v>
      </c>
      <c r="H35" t="s">
        <v>7</v>
      </c>
    </row>
    <row r="36" spans="1:8" x14ac:dyDescent="0.25">
      <c r="A36" t="s">
        <v>38</v>
      </c>
      <c r="B36" t="s">
        <v>23</v>
      </c>
      <c r="C36" t="s">
        <v>81</v>
      </c>
      <c r="D36">
        <v>200</v>
      </c>
      <c r="E36" t="s">
        <v>10</v>
      </c>
      <c r="G36" t="s">
        <v>80</v>
      </c>
      <c r="H36" t="s">
        <v>16</v>
      </c>
    </row>
    <row r="37" spans="1:8" x14ac:dyDescent="0.25">
      <c r="A37" t="s">
        <v>38</v>
      </c>
      <c r="B37" t="s">
        <v>31</v>
      </c>
      <c r="C37" t="s">
        <v>82</v>
      </c>
      <c r="D37">
        <v>125</v>
      </c>
      <c r="E37" t="s">
        <v>10</v>
      </c>
      <c r="G37" t="s">
        <v>83</v>
      </c>
      <c r="H37" t="s">
        <v>83</v>
      </c>
    </row>
    <row r="38" spans="1:8" x14ac:dyDescent="0.25">
      <c r="A38" t="s">
        <v>45</v>
      </c>
      <c r="B38" t="s">
        <v>23</v>
      </c>
      <c r="C38" s="3" t="s">
        <v>84</v>
      </c>
      <c r="D38">
        <v>125</v>
      </c>
      <c r="E38" t="s">
        <v>10</v>
      </c>
      <c r="G38" t="s">
        <v>85</v>
      </c>
      <c r="H38" t="s">
        <v>86</v>
      </c>
    </row>
    <row r="39" spans="1:8" x14ac:dyDescent="0.25">
      <c r="A39" t="s">
        <v>45</v>
      </c>
      <c r="B39" t="s">
        <v>23</v>
      </c>
      <c r="C39" t="s">
        <v>87</v>
      </c>
      <c r="D39" s="4" t="s">
        <v>88</v>
      </c>
      <c r="E39" t="s">
        <v>10</v>
      </c>
      <c r="G39" t="s">
        <v>89</v>
      </c>
      <c r="H39" t="s">
        <v>86</v>
      </c>
    </row>
    <row r="40" spans="1:8" x14ac:dyDescent="0.25">
      <c r="A40" t="s">
        <v>45</v>
      </c>
      <c r="B40" t="s">
        <v>90</v>
      </c>
      <c r="C40" t="s">
        <v>91</v>
      </c>
      <c r="D40">
        <v>200</v>
      </c>
      <c r="E40" t="s">
        <v>10</v>
      </c>
    </row>
    <row r="41" spans="1:8" x14ac:dyDescent="0.25">
      <c r="A41" t="s">
        <v>45</v>
      </c>
      <c r="B41" t="s">
        <v>90</v>
      </c>
      <c r="C41" t="s">
        <v>92</v>
      </c>
      <c r="D41">
        <v>200</v>
      </c>
      <c r="E41" t="s">
        <v>10</v>
      </c>
    </row>
    <row r="42" spans="1:8" x14ac:dyDescent="0.25">
      <c r="A42" t="s">
        <v>45</v>
      </c>
      <c r="B42" t="s">
        <v>90</v>
      </c>
      <c r="C42" t="s">
        <v>93</v>
      </c>
      <c r="D42">
        <v>100</v>
      </c>
      <c r="E42" t="s">
        <v>10</v>
      </c>
    </row>
    <row r="43" spans="1:8" ht="15.75" customHeight="1" x14ac:dyDescent="0.25">
      <c r="A43" t="s">
        <v>45</v>
      </c>
      <c r="B43" t="s">
        <v>31</v>
      </c>
      <c r="C43" t="s">
        <v>94</v>
      </c>
      <c r="D43">
        <v>135</v>
      </c>
      <c r="E43" t="s">
        <v>10</v>
      </c>
    </row>
    <row r="44" spans="1:8" ht="15.75" customHeight="1" x14ac:dyDescent="0.25">
      <c r="A44" t="s">
        <v>45</v>
      </c>
      <c r="B44" t="s">
        <v>90</v>
      </c>
      <c r="C44" s="5" t="s">
        <v>95</v>
      </c>
      <c r="D44">
        <v>200</v>
      </c>
      <c r="E44" t="s">
        <v>10</v>
      </c>
    </row>
    <row r="45" spans="1:8" x14ac:dyDescent="0.25">
      <c r="A45" t="s">
        <v>44</v>
      </c>
      <c r="B45" t="s">
        <v>23</v>
      </c>
      <c r="C45" s="3" t="s">
        <v>84</v>
      </c>
      <c r="D45">
        <v>125</v>
      </c>
      <c r="E45" t="s">
        <v>6</v>
      </c>
    </row>
    <row r="46" spans="1:8" x14ac:dyDescent="0.25">
      <c r="A46" t="s">
        <v>44</v>
      </c>
      <c r="B46" t="s">
        <v>23</v>
      </c>
      <c r="C46" t="s">
        <v>87</v>
      </c>
      <c r="D46" s="4" t="s">
        <v>88</v>
      </c>
      <c r="E46" t="s">
        <v>6</v>
      </c>
    </row>
    <row r="47" spans="1:8" x14ac:dyDescent="0.25">
      <c r="A47" t="s">
        <v>44</v>
      </c>
      <c r="B47" t="s">
        <v>90</v>
      </c>
      <c r="C47" t="s">
        <v>91</v>
      </c>
      <c r="D47">
        <v>200</v>
      </c>
      <c r="E47" t="s">
        <v>6</v>
      </c>
    </row>
    <row r="48" spans="1:8" x14ac:dyDescent="0.25">
      <c r="A48" t="s">
        <v>44</v>
      </c>
      <c r="B48" t="s">
        <v>90</v>
      </c>
      <c r="C48" t="s">
        <v>92</v>
      </c>
      <c r="D48">
        <v>200</v>
      </c>
      <c r="E48" t="s">
        <v>6</v>
      </c>
    </row>
    <row r="49" spans="1:5" x14ac:dyDescent="0.25">
      <c r="A49" t="s">
        <v>44</v>
      </c>
      <c r="B49" t="s">
        <v>90</v>
      </c>
      <c r="C49" t="s">
        <v>93</v>
      </c>
      <c r="D49">
        <v>100</v>
      </c>
      <c r="E49" t="s">
        <v>6</v>
      </c>
    </row>
    <row r="50" spans="1:5" x14ac:dyDescent="0.25">
      <c r="A50" t="s">
        <v>44</v>
      </c>
      <c r="B50" t="s">
        <v>31</v>
      </c>
      <c r="C50" t="s">
        <v>94</v>
      </c>
      <c r="D50">
        <v>135</v>
      </c>
      <c r="E50" t="s">
        <v>6</v>
      </c>
    </row>
    <row r="51" spans="1:5" x14ac:dyDescent="0.25">
      <c r="A51" t="s">
        <v>47</v>
      </c>
      <c r="B51" t="s">
        <v>23</v>
      </c>
      <c r="C51" s="3" t="s">
        <v>84</v>
      </c>
      <c r="D51">
        <v>125</v>
      </c>
      <c r="E51" t="s">
        <v>96</v>
      </c>
    </row>
    <row r="52" spans="1:5" x14ac:dyDescent="0.25">
      <c r="A52" t="s">
        <v>47</v>
      </c>
      <c r="B52" t="s">
        <v>23</v>
      </c>
      <c r="C52" t="s">
        <v>87</v>
      </c>
      <c r="D52" s="4" t="s">
        <v>88</v>
      </c>
      <c r="E52" t="s">
        <v>96</v>
      </c>
    </row>
    <row r="53" spans="1:5" x14ac:dyDescent="0.25">
      <c r="A53" t="s">
        <v>47</v>
      </c>
      <c r="B53" t="s">
        <v>90</v>
      </c>
      <c r="C53" t="s">
        <v>91</v>
      </c>
      <c r="D53">
        <v>200</v>
      </c>
      <c r="E53" t="s">
        <v>96</v>
      </c>
    </row>
    <row r="54" spans="1:5" x14ac:dyDescent="0.25">
      <c r="A54" t="s">
        <v>47</v>
      </c>
      <c r="B54" t="s">
        <v>90</v>
      </c>
      <c r="C54" t="s">
        <v>92</v>
      </c>
      <c r="D54">
        <v>200</v>
      </c>
      <c r="E54" t="s">
        <v>96</v>
      </c>
    </row>
    <row r="55" spans="1:5" x14ac:dyDescent="0.25">
      <c r="A55" t="s">
        <v>47</v>
      </c>
      <c r="B55" t="s">
        <v>90</v>
      </c>
      <c r="C55" t="s">
        <v>93</v>
      </c>
      <c r="D55">
        <v>100</v>
      </c>
      <c r="E55" t="s">
        <v>96</v>
      </c>
    </row>
    <row r="56" spans="1:5" x14ac:dyDescent="0.25">
      <c r="A56" t="s">
        <v>47</v>
      </c>
      <c r="B56" t="s">
        <v>31</v>
      </c>
      <c r="C56" t="s">
        <v>94</v>
      </c>
      <c r="D56">
        <v>135</v>
      </c>
      <c r="E56" t="s">
        <v>96</v>
      </c>
    </row>
    <row r="57" spans="1:5" x14ac:dyDescent="0.25">
      <c r="A57" t="s">
        <v>15</v>
      </c>
      <c r="B57" t="s">
        <v>8</v>
      </c>
      <c r="C57" t="s">
        <v>9</v>
      </c>
      <c r="D57">
        <v>30</v>
      </c>
      <c r="E57" t="s">
        <v>6</v>
      </c>
    </row>
    <row r="58" spans="1:5" x14ac:dyDescent="0.25">
      <c r="A58" t="s">
        <v>15</v>
      </c>
      <c r="B58" t="s">
        <v>8</v>
      </c>
      <c r="C58" t="s">
        <v>14</v>
      </c>
      <c r="D58">
        <v>60</v>
      </c>
      <c r="E58" t="s">
        <v>6</v>
      </c>
    </row>
    <row r="59" spans="1:5" x14ac:dyDescent="0.25">
      <c r="A59" t="s">
        <v>15</v>
      </c>
      <c r="B59" t="s">
        <v>8</v>
      </c>
      <c r="C59" t="s">
        <v>18</v>
      </c>
      <c r="D59">
        <v>100</v>
      </c>
      <c r="E59" t="s">
        <v>6</v>
      </c>
    </row>
    <row r="60" spans="1:5" x14ac:dyDescent="0.25">
      <c r="A60" t="s">
        <v>15</v>
      </c>
      <c r="B60" t="s">
        <v>8</v>
      </c>
      <c r="C60" t="s">
        <v>21</v>
      </c>
      <c r="D60">
        <v>200</v>
      </c>
      <c r="E60" t="s">
        <v>6</v>
      </c>
    </row>
    <row r="61" spans="1:5" x14ac:dyDescent="0.25">
      <c r="A61" t="s">
        <v>15</v>
      </c>
      <c r="B61" t="s">
        <v>23</v>
      </c>
      <c r="C61" t="s">
        <v>9</v>
      </c>
      <c r="D61">
        <v>30</v>
      </c>
      <c r="E61" t="s">
        <v>6</v>
      </c>
    </row>
    <row r="62" spans="1:5" x14ac:dyDescent="0.25">
      <c r="A62" t="s">
        <v>15</v>
      </c>
      <c r="B62" t="s">
        <v>23</v>
      </c>
      <c r="C62" t="s">
        <v>14</v>
      </c>
      <c r="D62">
        <v>60</v>
      </c>
      <c r="E62" t="s">
        <v>6</v>
      </c>
    </row>
    <row r="63" spans="1:5" x14ac:dyDescent="0.25">
      <c r="A63" t="s">
        <v>15</v>
      </c>
      <c r="B63" t="s">
        <v>23</v>
      </c>
      <c r="C63" t="s">
        <v>28</v>
      </c>
      <c r="D63">
        <v>100</v>
      </c>
      <c r="E63" t="s">
        <v>6</v>
      </c>
    </row>
    <row r="64" spans="1:5" x14ac:dyDescent="0.25">
      <c r="A64" t="s">
        <v>15</v>
      </c>
      <c r="B64" t="s">
        <v>23</v>
      </c>
      <c r="C64" t="s">
        <v>21</v>
      </c>
      <c r="D64">
        <v>200</v>
      </c>
      <c r="E64" t="s">
        <v>6</v>
      </c>
    </row>
    <row r="65" spans="1:5" x14ac:dyDescent="0.25">
      <c r="A65" t="s">
        <v>15</v>
      </c>
      <c r="B65" t="s">
        <v>31</v>
      </c>
      <c r="C65" t="s">
        <v>32</v>
      </c>
      <c r="D65">
        <v>200</v>
      </c>
      <c r="E65" t="s">
        <v>6</v>
      </c>
    </row>
    <row r="66" spans="1:5" x14ac:dyDescent="0.25">
      <c r="A66" t="s">
        <v>15</v>
      </c>
      <c r="B66" t="s">
        <v>31</v>
      </c>
      <c r="C66" t="s">
        <v>34</v>
      </c>
      <c r="D66">
        <v>100</v>
      </c>
      <c r="E66" t="s">
        <v>6</v>
      </c>
    </row>
    <row r="67" spans="1:5" x14ac:dyDescent="0.25">
      <c r="A67" t="s">
        <v>15</v>
      </c>
      <c r="B67" t="s">
        <v>31</v>
      </c>
      <c r="C67" t="s">
        <v>35</v>
      </c>
      <c r="D67">
        <v>30</v>
      </c>
      <c r="E67" t="s">
        <v>6</v>
      </c>
    </row>
    <row r="68" spans="1:5" x14ac:dyDescent="0.25">
      <c r="A68" t="s">
        <v>15</v>
      </c>
      <c r="B68" t="s">
        <v>31</v>
      </c>
      <c r="C68" t="s">
        <v>37</v>
      </c>
      <c r="D68">
        <v>60</v>
      </c>
      <c r="E68" t="s">
        <v>6</v>
      </c>
    </row>
    <row r="69" spans="1:5" x14ac:dyDescent="0.25">
      <c r="A69" t="s">
        <v>15</v>
      </c>
      <c r="B69" t="s">
        <v>39</v>
      </c>
      <c r="C69" t="s">
        <v>40</v>
      </c>
      <c r="D69">
        <v>30</v>
      </c>
      <c r="E69" t="s">
        <v>6</v>
      </c>
    </row>
    <row r="70" spans="1:5" x14ac:dyDescent="0.25">
      <c r="A70" t="s">
        <v>15</v>
      </c>
      <c r="B70" t="s">
        <v>39</v>
      </c>
      <c r="C70" t="s">
        <v>43</v>
      </c>
      <c r="D70">
        <v>60</v>
      </c>
      <c r="E70" t="s">
        <v>6</v>
      </c>
    </row>
    <row r="71" spans="1:5" x14ac:dyDescent="0.25">
      <c r="A71" t="s">
        <v>15</v>
      </c>
      <c r="B71" t="s">
        <v>39</v>
      </c>
      <c r="C71" t="s">
        <v>46</v>
      </c>
      <c r="D71">
        <v>100</v>
      </c>
      <c r="E71" t="s">
        <v>6</v>
      </c>
    </row>
    <row r="72" spans="1:5" x14ac:dyDescent="0.25">
      <c r="A72" t="s">
        <v>15</v>
      </c>
      <c r="B72" t="s">
        <v>39</v>
      </c>
      <c r="C72" t="s">
        <v>32</v>
      </c>
      <c r="D72">
        <v>200</v>
      </c>
      <c r="E72" t="s">
        <v>6</v>
      </c>
    </row>
    <row r="73" spans="1:5" x14ac:dyDescent="0.25">
      <c r="A73" t="s">
        <v>19</v>
      </c>
      <c r="B73" t="s">
        <v>8</v>
      </c>
      <c r="C73" t="s">
        <v>9</v>
      </c>
      <c r="D73">
        <v>30</v>
      </c>
      <c r="E73" t="s">
        <v>96</v>
      </c>
    </row>
    <row r="74" spans="1:5" x14ac:dyDescent="0.25">
      <c r="A74" t="s">
        <v>19</v>
      </c>
      <c r="B74" t="s">
        <v>8</v>
      </c>
      <c r="C74" t="s">
        <v>14</v>
      </c>
      <c r="D74">
        <v>60</v>
      </c>
      <c r="E74" t="s">
        <v>96</v>
      </c>
    </row>
    <row r="75" spans="1:5" x14ac:dyDescent="0.25">
      <c r="A75" t="s">
        <v>19</v>
      </c>
      <c r="B75" t="s">
        <v>8</v>
      </c>
      <c r="C75" t="s">
        <v>18</v>
      </c>
      <c r="D75">
        <v>100</v>
      </c>
      <c r="E75" t="s">
        <v>96</v>
      </c>
    </row>
    <row r="76" spans="1:5" x14ac:dyDescent="0.25">
      <c r="A76" t="s">
        <v>19</v>
      </c>
      <c r="B76" t="s">
        <v>8</v>
      </c>
      <c r="C76" t="s">
        <v>21</v>
      </c>
      <c r="D76">
        <v>200</v>
      </c>
      <c r="E76" t="s">
        <v>96</v>
      </c>
    </row>
    <row r="77" spans="1:5" x14ac:dyDescent="0.25">
      <c r="A77" t="s">
        <v>19</v>
      </c>
      <c r="B77" t="s">
        <v>23</v>
      </c>
      <c r="C77" t="s">
        <v>9</v>
      </c>
      <c r="D77">
        <v>30</v>
      </c>
      <c r="E77" t="s">
        <v>96</v>
      </c>
    </row>
    <row r="78" spans="1:5" x14ac:dyDescent="0.25">
      <c r="A78" t="s">
        <v>19</v>
      </c>
      <c r="B78" t="s">
        <v>23</v>
      </c>
      <c r="C78" t="s">
        <v>14</v>
      </c>
      <c r="D78">
        <v>60</v>
      </c>
      <c r="E78" t="s">
        <v>96</v>
      </c>
    </row>
    <row r="79" spans="1:5" x14ac:dyDescent="0.25">
      <c r="A79" t="s">
        <v>19</v>
      </c>
      <c r="B79" t="s">
        <v>23</v>
      </c>
      <c r="C79" t="s">
        <v>28</v>
      </c>
      <c r="D79">
        <v>100</v>
      </c>
      <c r="E79" t="s">
        <v>96</v>
      </c>
    </row>
    <row r="80" spans="1:5" x14ac:dyDescent="0.25">
      <c r="A80" t="s">
        <v>19</v>
      </c>
      <c r="B80" t="s">
        <v>23</v>
      </c>
      <c r="C80" t="s">
        <v>21</v>
      </c>
      <c r="D80">
        <v>200</v>
      </c>
      <c r="E80" t="s">
        <v>96</v>
      </c>
    </row>
    <row r="81" spans="1:5" x14ac:dyDescent="0.25">
      <c r="A81" t="s">
        <v>19</v>
      </c>
      <c r="B81" t="s">
        <v>31</v>
      </c>
      <c r="C81" t="s">
        <v>32</v>
      </c>
      <c r="D81">
        <v>200</v>
      </c>
      <c r="E81" t="s">
        <v>96</v>
      </c>
    </row>
    <row r="82" spans="1:5" x14ac:dyDescent="0.25">
      <c r="A82" t="s">
        <v>19</v>
      </c>
      <c r="B82" t="s">
        <v>31</v>
      </c>
      <c r="C82" t="s">
        <v>34</v>
      </c>
      <c r="D82">
        <v>100</v>
      </c>
      <c r="E82" t="s">
        <v>96</v>
      </c>
    </row>
    <row r="83" spans="1:5" x14ac:dyDescent="0.25">
      <c r="A83" t="s">
        <v>19</v>
      </c>
      <c r="B83" t="s">
        <v>31</v>
      </c>
      <c r="C83" t="s">
        <v>35</v>
      </c>
      <c r="D83">
        <v>30</v>
      </c>
      <c r="E83" t="s">
        <v>96</v>
      </c>
    </row>
    <row r="84" spans="1:5" x14ac:dyDescent="0.25">
      <c r="A84" t="s">
        <v>19</v>
      </c>
      <c r="B84" t="s">
        <v>31</v>
      </c>
      <c r="C84" t="s">
        <v>37</v>
      </c>
      <c r="D84">
        <v>60</v>
      </c>
      <c r="E84" t="s">
        <v>96</v>
      </c>
    </row>
    <row r="85" spans="1:5" x14ac:dyDescent="0.25">
      <c r="A85" t="s">
        <v>19</v>
      </c>
      <c r="B85" t="s">
        <v>39</v>
      </c>
      <c r="C85" t="s">
        <v>40</v>
      </c>
      <c r="D85">
        <v>30</v>
      </c>
      <c r="E85" t="s">
        <v>96</v>
      </c>
    </row>
    <row r="86" spans="1:5" x14ac:dyDescent="0.25">
      <c r="A86" t="s">
        <v>19</v>
      </c>
      <c r="B86" t="s">
        <v>39</v>
      </c>
      <c r="C86" t="s">
        <v>43</v>
      </c>
      <c r="D86">
        <v>60</v>
      </c>
      <c r="E86" t="s">
        <v>96</v>
      </c>
    </row>
    <row r="87" spans="1:5" x14ac:dyDescent="0.25">
      <c r="A87" t="s">
        <v>19</v>
      </c>
      <c r="B87" t="s">
        <v>39</v>
      </c>
      <c r="C87" t="s">
        <v>46</v>
      </c>
      <c r="D87">
        <v>100</v>
      </c>
      <c r="E87" t="s">
        <v>96</v>
      </c>
    </row>
    <row r="88" spans="1:5" x14ac:dyDescent="0.25">
      <c r="A88" t="s">
        <v>19</v>
      </c>
      <c r="B88" t="s">
        <v>39</v>
      </c>
      <c r="C88" t="s">
        <v>32</v>
      </c>
      <c r="D88">
        <v>200</v>
      </c>
      <c r="E88" t="s">
        <v>96</v>
      </c>
    </row>
    <row r="89" spans="1:5" x14ac:dyDescent="0.25">
      <c r="A89" t="s">
        <v>33</v>
      </c>
      <c r="B89" t="s">
        <v>8</v>
      </c>
      <c r="C89" t="s">
        <v>50</v>
      </c>
      <c r="D89">
        <v>30</v>
      </c>
      <c r="E89" t="s">
        <v>6</v>
      </c>
    </row>
    <row r="90" spans="1:5" x14ac:dyDescent="0.25">
      <c r="A90" t="s">
        <v>33</v>
      </c>
      <c r="B90" t="s">
        <v>8</v>
      </c>
      <c r="C90" t="s">
        <v>52</v>
      </c>
      <c r="D90">
        <v>60</v>
      </c>
      <c r="E90" t="s">
        <v>6</v>
      </c>
    </row>
    <row r="91" spans="1:5" x14ac:dyDescent="0.25">
      <c r="A91" t="s">
        <v>33</v>
      </c>
      <c r="B91" t="s">
        <v>8</v>
      </c>
      <c r="C91" t="s">
        <v>54</v>
      </c>
      <c r="D91">
        <v>100</v>
      </c>
      <c r="E91" t="s">
        <v>6</v>
      </c>
    </row>
    <row r="92" spans="1:5" x14ac:dyDescent="0.25">
      <c r="A92" t="s">
        <v>33</v>
      </c>
      <c r="B92" t="s">
        <v>8</v>
      </c>
      <c r="C92" t="s">
        <v>56</v>
      </c>
      <c r="D92">
        <v>200</v>
      </c>
      <c r="E92" t="s">
        <v>6</v>
      </c>
    </row>
    <row r="93" spans="1:5" x14ac:dyDescent="0.25">
      <c r="A93" t="s">
        <v>33</v>
      </c>
      <c r="B93" t="s">
        <v>23</v>
      </c>
      <c r="C93" t="s">
        <v>50</v>
      </c>
      <c r="D93">
        <v>30</v>
      </c>
      <c r="E93" t="s">
        <v>6</v>
      </c>
    </row>
    <row r="94" spans="1:5" x14ac:dyDescent="0.25">
      <c r="A94" t="s">
        <v>33</v>
      </c>
      <c r="B94" t="s">
        <v>23</v>
      </c>
      <c r="C94" t="s">
        <v>52</v>
      </c>
      <c r="D94">
        <v>60</v>
      </c>
      <c r="E94" t="s">
        <v>6</v>
      </c>
    </row>
    <row r="95" spans="1:5" x14ac:dyDescent="0.25">
      <c r="A95" t="s">
        <v>33</v>
      </c>
      <c r="B95" t="s">
        <v>23</v>
      </c>
      <c r="C95" t="s">
        <v>54</v>
      </c>
      <c r="D95">
        <v>100</v>
      </c>
      <c r="E95" t="s">
        <v>6</v>
      </c>
    </row>
    <row r="96" spans="1:5" x14ac:dyDescent="0.25">
      <c r="A96" t="s">
        <v>33</v>
      </c>
      <c r="B96" t="s">
        <v>23</v>
      </c>
      <c r="C96" t="s">
        <v>56</v>
      </c>
      <c r="D96">
        <v>200</v>
      </c>
      <c r="E96" t="s">
        <v>6</v>
      </c>
    </row>
    <row r="97" spans="1:5" x14ac:dyDescent="0.25">
      <c r="A97" t="s">
        <v>33</v>
      </c>
      <c r="B97" t="s">
        <v>31</v>
      </c>
      <c r="C97" t="s">
        <v>62</v>
      </c>
      <c r="D97">
        <v>200</v>
      </c>
      <c r="E97" t="s">
        <v>6</v>
      </c>
    </row>
    <row r="98" spans="1:5" x14ac:dyDescent="0.25">
      <c r="A98" t="s">
        <v>33</v>
      </c>
      <c r="B98" t="s">
        <v>31</v>
      </c>
      <c r="C98" t="s">
        <v>63</v>
      </c>
      <c r="D98">
        <v>100</v>
      </c>
      <c r="E98" t="s">
        <v>6</v>
      </c>
    </row>
    <row r="99" spans="1:5" x14ac:dyDescent="0.25">
      <c r="A99" t="s">
        <v>33</v>
      </c>
      <c r="B99" t="s">
        <v>31</v>
      </c>
      <c r="C99" t="s">
        <v>66</v>
      </c>
      <c r="D99">
        <v>30</v>
      </c>
      <c r="E99" t="s">
        <v>6</v>
      </c>
    </row>
    <row r="100" spans="1:5" x14ac:dyDescent="0.25">
      <c r="A100" t="s">
        <v>33</v>
      </c>
      <c r="B100" t="s">
        <v>31</v>
      </c>
      <c r="C100" t="s">
        <v>68</v>
      </c>
      <c r="D100">
        <v>60</v>
      </c>
      <c r="E100" t="s">
        <v>6</v>
      </c>
    </row>
    <row r="101" spans="1:5" x14ac:dyDescent="0.25">
      <c r="A101" t="s">
        <v>33</v>
      </c>
      <c r="B101" t="s">
        <v>39</v>
      </c>
      <c r="C101" t="s">
        <v>70</v>
      </c>
      <c r="D101">
        <v>30</v>
      </c>
      <c r="E101" t="s">
        <v>6</v>
      </c>
    </row>
    <row r="102" spans="1:5" x14ac:dyDescent="0.25">
      <c r="A102" t="s">
        <v>48</v>
      </c>
      <c r="B102" t="s">
        <v>23</v>
      </c>
      <c r="C102" s="3" t="s">
        <v>84</v>
      </c>
      <c r="D102">
        <v>125</v>
      </c>
      <c r="E102" t="s">
        <v>6</v>
      </c>
    </row>
    <row r="103" spans="1:5" x14ac:dyDescent="0.25">
      <c r="A103" t="s">
        <v>48</v>
      </c>
      <c r="B103" t="s">
        <v>23</v>
      </c>
      <c r="C103" t="s">
        <v>87</v>
      </c>
      <c r="D103" s="4" t="s">
        <v>88</v>
      </c>
      <c r="E103" t="s">
        <v>6</v>
      </c>
    </row>
    <row r="104" spans="1:5" x14ac:dyDescent="0.25">
      <c r="A104" t="s">
        <v>48</v>
      </c>
      <c r="B104" t="s">
        <v>90</v>
      </c>
      <c r="C104" t="s">
        <v>91</v>
      </c>
      <c r="D104">
        <v>200</v>
      </c>
      <c r="E104" t="s">
        <v>6</v>
      </c>
    </row>
    <row r="105" spans="1:5" x14ac:dyDescent="0.25">
      <c r="A105" t="s">
        <v>48</v>
      </c>
      <c r="B105" t="s">
        <v>90</v>
      </c>
      <c r="C105" t="s">
        <v>92</v>
      </c>
      <c r="D105">
        <v>200</v>
      </c>
      <c r="E105" t="s">
        <v>6</v>
      </c>
    </row>
    <row r="106" spans="1:5" x14ac:dyDescent="0.25">
      <c r="A106" t="s">
        <v>48</v>
      </c>
      <c r="B106" t="s">
        <v>90</v>
      </c>
      <c r="C106" t="s">
        <v>93</v>
      </c>
      <c r="D106">
        <v>100</v>
      </c>
      <c r="E106" t="s">
        <v>6</v>
      </c>
    </row>
    <row r="107" spans="1:5" x14ac:dyDescent="0.25">
      <c r="A107" t="s">
        <v>48</v>
      </c>
      <c r="B107" t="s">
        <v>31</v>
      </c>
      <c r="C107" t="s">
        <v>94</v>
      </c>
      <c r="D107">
        <v>135</v>
      </c>
      <c r="E107" t="s">
        <v>6</v>
      </c>
    </row>
    <row r="108" spans="1:5" x14ac:dyDescent="0.25">
      <c r="A108" t="s">
        <v>24</v>
      </c>
      <c r="B108" t="s">
        <v>8</v>
      </c>
      <c r="C108" t="s">
        <v>9</v>
      </c>
      <c r="D108">
        <v>30</v>
      </c>
      <c r="E108" t="s">
        <v>6</v>
      </c>
    </row>
    <row r="109" spans="1:5" x14ac:dyDescent="0.25">
      <c r="A109" t="s">
        <v>24</v>
      </c>
      <c r="B109" t="s">
        <v>8</v>
      </c>
      <c r="C109" t="s">
        <v>14</v>
      </c>
      <c r="D109">
        <v>60</v>
      </c>
      <c r="E109" t="s">
        <v>6</v>
      </c>
    </row>
    <row r="110" spans="1:5" x14ac:dyDescent="0.25">
      <c r="A110" t="s">
        <v>24</v>
      </c>
      <c r="B110" t="s">
        <v>8</v>
      </c>
      <c r="C110" t="s">
        <v>18</v>
      </c>
      <c r="D110">
        <v>100</v>
      </c>
      <c r="E110" t="s">
        <v>6</v>
      </c>
    </row>
    <row r="111" spans="1:5" x14ac:dyDescent="0.25">
      <c r="A111" t="s">
        <v>24</v>
      </c>
      <c r="B111" t="s">
        <v>8</v>
      </c>
      <c r="C111" t="s">
        <v>21</v>
      </c>
      <c r="D111">
        <v>200</v>
      </c>
      <c r="E111" t="s">
        <v>6</v>
      </c>
    </row>
    <row r="112" spans="1:5" x14ac:dyDescent="0.25">
      <c r="A112" t="s">
        <v>24</v>
      </c>
      <c r="B112" t="s">
        <v>23</v>
      </c>
      <c r="C112" t="s">
        <v>9</v>
      </c>
      <c r="D112">
        <v>30</v>
      </c>
      <c r="E112" t="s">
        <v>6</v>
      </c>
    </row>
    <row r="113" spans="1:5" x14ac:dyDescent="0.25">
      <c r="A113" t="s">
        <v>24</v>
      </c>
      <c r="B113" t="s">
        <v>23</v>
      </c>
      <c r="C113" t="s">
        <v>14</v>
      </c>
      <c r="D113">
        <v>60</v>
      </c>
      <c r="E113" t="s">
        <v>6</v>
      </c>
    </row>
    <row r="114" spans="1:5" x14ac:dyDescent="0.25">
      <c r="A114" t="s">
        <v>24</v>
      </c>
      <c r="B114" t="s">
        <v>23</v>
      </c>
      <c r="C114" t="s">
        <v>28</v>
      </c>
      <c r="D114">
        <v>100</v>
      </c>
      <c r="E114" t="s">
        <v>6</v>
      </c>
    </row>
    <row r="115" spans="1:5" x14ac:dyDescent="0.25">
      <c r="A115" t="s">
        <v>24</v>
      </c>
      <c r="B115" t="s">
        <v>23</v>
      </c>
      <c r="C115" t="s">
        <v>21</v>
      </c>
      <c r="D115">
        <v>200</v>
      </c>
      <c r="E115" t="s">
        <v>6</v>
      </c>
    </row>
    <row r="116" spans="1:5" x14ac:dyDescent="0.25">
      <c r="A116" t="s">
        <v>24</v>
      </c>
      <c r="B116" t="s">
        <v>31</v>
      </c>
      <c r="C116" t="s">
        <v>32</v>
      </c>
      <c r="D116">
        <v>200</v>
      </c>
      <c r="E116" t="s">
        <v>6</v>
      </c>
    </row>
    <row r="117" spans="1:5" x14ac:dyDescent="0.25">
      <c r="A117" t="s">
        <v>24</v>
      </c>
      <c r="B117" t="s">
        <v>31</v>
      </c>
      <c r="C117" t="s">
        <v>34</v>
      </c>
      <c r="D117">
        <v>100</v>
      </c>
      <c r="E117" t="s">
        <v>6</v>
      </c>
    </row>
    <row r="118" spans="1:5" x14ac:dyDescent="0.25">
      <c r="A118" t="s">
        <v>24</v>
      </c>
      <c r="B118" t="s">
        <v>31</v>
      </c>
      <c r="C118" t="s">
        <v>35</v>
      </c>
      <c r="D118">
        <v>30</v>
      </c>
      <c r="E118" t="s">
        <v>6</v>
      </c>
    </row>
    <row r="119" spans="1:5" x14ac:dyDescent="0.25">
      <c r="A119" t="s">
        <v>24</v>
      </c>
      <c r="B119" t="s">
        <v>31</v>
      </c>
      <c r="C119" t="s">
        <v>37</v>
      </c>
      <c r="D119">
        <v>60</v>
      </c>
      <c r="E119" t="s">
        <v>6</v>
      </c>
    </row>
    <row r="120" spans="1:5" x14ac:dyDescent="0.25">
      <c r="A120" t="s">
        <v>24</v>
      </c>
      <c r="B120" t="s">
        <v>39</v>
      </c>
      <c r="C120" t="s">
        <v>40</v>
      </c>
      <c r="D120">
        <v>30</v>
      </c>
      <c r="E120" t="s">
        <v>6</v>
      </c>
    </row>
    <row r="121" spans="1:5" x14ac:dyDescent="0.25">
      <c r="A121" t="s">
        <v>24</v>
      </c>
      <c r="B121" t="s">
        <v>39</v>
      </c>
      <c r="C121" t="s">
        <v>43</v>
      </c>
      <c r="D121">
        <v>60</v>
      </c>
      <c r="E121" t="s">
        <v>6</v>
      </c>
    </row>
    <row r="122" spans="1:5" x14ac:dyDescent="0.25">
      <c r="A122" t="s">
        <v>24</v>
      </c>
      <c r="B122" t="s">
        <v>39</v>
      </c>
      <c r="C122" t="s">
        <v>46</v>
      </c>
      <c r="D122">
        <v>100</v>
      </c>
      <c r="E122" t="s">
        <v>6</v>
      </c>
    </row>
    <row r="123" spans="1:5" x14ac:dyDescent="0.25">
      <c r="A123" t="s">
        <v>24</v>
      </c>
      <c r="B123" t="s">
        <v>39</v>
      </c>
      <c r="C123" t="s">
        <v>32</v>
      </c>
      <c r="D123">
        <v>200</v>
      </c>
      <c r="E123" t="s">
        <v>6</v>
      </c>
    </row>
    <row r="124" spans="1:5" x14ac:dyDescent="0.25">
      <c r="A124" t="s">
        <v>27</v>
      </c>
      <c r="B124" t="s">
        <v>8</v>
      </c>
      <c r="C124" t="s">
        <v>9</v>
      </c>
      <c r="D124">
        <v>30</v>
      </c>
      <c r="E124" t="s">
        <v>6</v>
      </c>
    </row>
    <row r="125" spans="1:5" x14ac:dyDescent="0.25">
      <c r="A125" t="s">
        <v>27</v>
      </c>
      <c r="B125" t="s">
        <v>8</v>
      </c>
      <c r="C125" t="s">
        <v>14</v>
      </c>
      <c r="D125">
        <v>60</v>
      </c>
      <c r="E125" t="s">
        <v>6</v>
      </c>
    </row>
    <row r="126" spans="1:5" x14ac:dyDescent="0.25">
      <c r="A126" t="s">
        <v>27</v>
      </c>
      <c r="B126" t="s">
        <v>8</v>
      </c>
      <c r="C126" t="s">
        <v>18</v>
      </c>
      <c r="D126">
        <v>100</v>
      </c>
      <c r="E126" t="s">
        <v>6</v>
      </c>
    </row>
    <row r="127" spans="1:5" x14ac:dyDescent="0.25">
      <c r="A127" t="s">
        <v>27</v>
      </c>
      <c r="B127" t="s">
        <v>8</v>
      </c>
      <c r="C127" t="s">
        <v>21</v>
      </c>
      <c r="D127">
        <v>200</v>
      </c>
      <c r="E127" t="s">
        <v>6</v>
      </c>
    </row>
    <row r="128" spans="1:5" x14ac:dyDescent="0.25">
      <c r="A128" t="s">
        <v>27</v>
      </c>
      <c r="B128" t="s">
        <v>23</v>
      </c>
      <c r="C128" t="s">
        <v>9</v>
      </c>
      <c r="D128">
        <v>30</v>
      </c>
      <c r="E128" t="s">
        <v>6</v>
      </c>
    </row>
    <row r="129" spans="1:5" x14ac:dyDescent="0.25">
      <c r="A129" t="s">
        <v>27</v>
      </c>
      <c r="B129" t="s">
        <v>23</v>
      </c>
      <c r="C129" t="s">
        <v>14</v>
      </c>
      <c r="D129">
        <v>60</v>
      </c>
      <c r="E129" t="s">
        <v>6</v>
      </c>
    </row>
    <row r="130" spans="1:5" x14ac:dyDescent="0.25">
      <c r="A130" t="s">
        <v>27</v>
      </c>
      <c r="B130" t="s">
        <v>23</v>
      </c>
      <c r="C130" t="s">
        <v>28</v>
      </c>
      <c r="D130">
        <v>100</v>
      </c>
      <c r="E130" t="s">
        <v>6</v>
      </c>
    </row>
    <row r="131" spans="1:5" x14ac:dyDescent="0.25">
      <c r="A131" t="s">
        <v>27</v>
      </c>
      <c r="B131" t="s">
        <v>23</v>
      </c>
      <c r="C131" t="s">
        <v>21</v>
      </c>
      <c r="D131">
        <v>200</v>
      </c>
      <c r="E131" t="s">
        <v>6</v>
      </c>
    </row>
    <row r="132" spans="1:5" x14ac:dyDescent="0.25">
      <c r="A132" t="s">
        <v>27</v>
      </c>
      <c r="B132" t="s">
        <v>31</v>
      </c>
      <c r="C132" t="s">
        <v>32</v>
      </c>
      <c r="D132">
        <v>200</v>
      </c>
      <c r="E132" t="s">
        <v>6</v>
      </c>
    </row>
    <row r="133" spans="1:5" x14ac:dyDescent="0.25">
      <c r="A133" t="s">
        <v>27</v>
      </c>
      <c r="B133" t="s">
        <v>31</v>
      </c>
      <c r="C133" t="s">
        <v>34</v>
      </c>
      <c r="D133">
        <v>100</v>
      </c>
      <c r="E133" t="s">
        <v>6</v>
      </c>
    </row>
    <row r="134" spans="1:5" x14ac:dyDescent="0.25">
      <c r="A134" t="s">
        <v>27</v>
      </c>
      <c r="B134" t="s">
        <v>31</v>
      </c>
      <c r="C134" t="s">
        <v>35</v>
      </c>
      <c r="D134">
        <v>30</v>
      </c>
      <c r="E134" t="s">
        <v>6</v>
      </c>
    </row>
    <row r="135" spans="1:5" x14ac:dyDescent="0.25">
      <c r="A135" t="s">
        <v>27</v>
      </c>
      <c r="B135" t="s">
        <v>31</v>
      </c>
      <c r="C135" t="s">
        <v>37</v>
      </c>
      <c r="D135">
        <v>60</v>
      </c>
      <c r="E135" t="s">
        <v>6</v>
      </c>
    </row>
    <row r="136" spans="1:5" x14ac:dyDescent="0.25">
      <c r="A136" t="s">
        <v>27</v>
      </c>
      <c r="B136" t="s">
        <v>39</v>
      </c>
      <c r="C136" t="s">
        <v>40</v>
      </c>
      <c r="D136">
        <v>30</v>
      </c>
      <c r="E136" t="s">
        <v>6</v>
      </c>
    </row>
    <row r="137" spans="1:5" x14ac:dyDescent="0.25">
      <c r="A137" t="s">
        <v>27</v>
      </c>
      <c r="B137" t="s">
        <v>39</v>
      </c>
      <c r="C137" t="s">
        <v>43</v>
      </c>
      <c r="D137">
        <v>60</v>
      </c>
      <c r="E137" t="s">
        <v>6</v>
      </c>
    </row>
    <row r="138" spans="1:5" x14ac:dyDescent="0.25">
      <c r="A138" t="s">
        <v>27</v>
      </c>
      <c r="B138" t="s">
        <v>39</v>
      </c>
      <c r="C138" t="s">
        <v>46</v>
      </c>
      <c r="D138">
        <v>100</v>
      </c>
      <c r="E138" t="s">
        <v>6</v>
      </c>
    </row>
    <row r="139" spans="1:5" x14ac:dyDescent="0.25">
      <c r="A139" t="s">
        <v>27</v>
      </c>
      <c r="B139" t="s">
        <v>39</v>
      </c>
      <c r="C139" t="s">
        <v>32</v>
      </c>
      <c r="D139">
        <v>200</v>
      </c>
      <c r="E139" t="s">
        <v>6</v>
      </c>
    </row>
    <row r="140" spans="1:5" x14ac:dyDescent="0.25">
      <c r="A140" t="s">
        <v>41</v>
      </c>
      <c r="B140" t="s">
        <v>23</v>
      </c>
      <c r="C140" s="2" t="s">
        <v>76</v>
      </c>
      <c r="D140">
        <v>100</v>
      </c>
      <c r="E140" t="s">
        <v>6</v>
      </c>
    </row>
    <row r="141" spans="1:5" x14ac:dyDescent="0.25">
      <c r="A141" t="s">
        <v>41</v>
      </c>
      <c r="B141" t="s">
        <v>23</v>
      </c>
      <c r="C141" t="s">
        <v>79</v>
      </c>
      <c r="D141">
        <v>125</v>
      </c>
      <c r="E141" t="s">
        <v>6</v>
      </c>
    </row>
    <row r="142" spans="1:5" x14ac:dyDescent="0.25">
      <c r="A142" t="s">
        <v>41</v>
      </c>
      <c r="B142" t="s">
        <v>23</v>
      </c>
      <c r="C142" t="s">
        <v>81</v>
      </c>
      <c r="D142">
        <v>200</v>
      </c>
      <c r="E142" t="s">
        <v>6</v>
      </c>
    </row>
    <row r="143" spans="1:5" x14ac:dyDescent="0.25">
      <c r="A143" t="s">
        <v>41</v>
      </c>
      <c r="B143" t="s">
        <v>31</v>
      </c>
      <c r="C143" t="s">
        <v>82</v>
      </c>
      <c r="D143">
        <v>125</v>
      </c>
      <c r="E143" t="s">
        <v>6</v>
      </c>
    </row>
    <row r="144" spans="1:5" x14ac:dyDescent="0.25">
      <c r="A144" t="s">
        <v>29</v>
      </c>
      <c r="B144" t="s">
        <v>8</v>
      </c>
      <c r="C144" t="s">
        <v>9</v>
      </c>
      <c r="D144">
        <v>30</v>
      </c>
      <c r="E144" t="s">
        <v>96</v>
      </c>
    </row>
    <row r="145" spans="1:5" x14ac:dyDescent="0.25">
      <c r="A145" t="s">
        <v>29</v>
      </c>
      <c r="B145" t="s">
        <v>8</v>
      </c>
      <c r="C145" t="s">
        <v>14</v>
      </c>
      <c r="D145">
        <v>60</v>
      </c>
      <c r="E145" t="s">
        <v>96</v>
      </c>
    </row>
    <row r="146" spans="1:5" x14ac:dyDescent="0.25">
      <c r="A146" t="s">
        <v>29</v>
      </c>
      <c r="B146" t="s">
        <v>8</v>
      </c>
      <c r="C146" t="s">
        <v>18</v>
      </c>
      <c r="D146">
        <v>100</v>
      </c>
      <c r="E146" t="s">
        <v>96</v>
      </c>
    </row>
    <row r="147" spans="1:5" x14ac:dyDescent="0.25">
      <c r="A147" t="s">
        <v>29</v>
      </c>
      <c r="B147" t="s">
        <v>8</v>
      </c>
      <c r="C147" t="s">
        <v>21</v>
      </c>
      <c r="D147">
        <v>200</v>
      </c>
      <c r="E147" t="s">
        <v>96</v>
      </c>
    </row>
    <row r="148" spans="1:5" x14ac:dyDescent="0.25">
      <c r="A148" t="s">
        <v>29</v>
      </c>
      <c r="B148" t="s">
        <v>23</v>
      </c>
      <c r="C148" t="s">
        <v>9</v>
      </c>
      <c r="D148">
        <v>30</v>
      </c>
      <c r="E148" t="s">
        <v>96</v>
      </c>
    </row>
    <row r="149" spans="1:5" x14ac:dyDescent="0.25">
      <c r="A149" t="s">
        <v>29</v>
      </c>
      <c r="B149" t="s">
        <v>23</v>
      </c>
      <c r="C149" t="s">
        <v>14</v>
      </c>
      <c r="D149">
        <v>60</v>
      </c>
      <c r="E149" t="s">
        <v>96</v>
      </c>
    </row>
    <row r="150" spans="1:5" x14ac:dyDescent="0.25">
      <c r="A150" t="s">
        <v>29</v>
      </c>
      <c r="B150" t="s">
        <v>23</v>
      </c>
      <c r="C150" t="s">
        <v>28</v>
      </c>
      <c r="D150">
        <v>100</v>
      </c>
      <c r="E150" t="s">
        <v>96</v>
      </c>
    </row>
    <row r="151" spans="1:5" x14ac:dyDescent="0.25">
      <c r="A151" t="s">
        <v>29</v>
      </c>
      <c r="B151" t="s">
        <v>23</v>
      </c>
      <c r="C151" t="s">
        <v>21</v>
      </c>
      <c r="D151">
        <v>200</v>
      </c>
      <c r="E151" t="s">
        <v>96</v>
      </c>
    </row>
    <row r="152" spans="1:5" x14ac:dyDescent="0.25">
      <c r="A152" t="s">
        <v>29</v>
      </c>
      <c r="B152" t="s">
        <v>31</v>
      </c>
      <c r="C152" t="s">
        <v>32</v>
      </c>
      <c r="D152">
        <v>200</v>
      </c>
      <c r="E152" t="s">
        <v>96</v>
      </c>
    </row>
    <row r="153" spans="1:5" x14ac:dyDescent="0.25">
      <c r="A153" t="s">
        <v>29</v>
      </c>
      <c r="B153" t="s">
        <v>31</v>
      </c>
      <c r="C153" t="s">
        <v>34</v>
      </c>
      <c r="D153">
        <v>100</v>
      </c>
      <c r="E153" t="s">
        <v>96</v>
      </c>
    </row>
    <row r="154" spans="1:5" x14ac:dyDescent="0.25">
      <c r="A154" t="s">
        <v>29</v>
      </c>
      <c r="B154" t="s">
        <v>31</v>
      </c>
      <c r="C154" t="s">
        <v>35</v>
      </c>
      <c r="D154">
        <v>30</v>
      </c>
      <c r="E154" t="s">
        <v>96</v>
      </c>
    </row>
    <row r="155" spans="1:5" x14ac:dyDescent="0.25">
      <c r="A155" t="s">
        <v>29</v>
      </c>
      <c r="B155" t="s">
        <v>31</v>
      </c>
      <c r="C155" t="s">
        <v>37</v>
      </c>
      <c r="D155">
        <v>60</v>
      </c>
      <c r="E155" t="s">
        <v>96</v>
      </c>
    </row>
    <row r="156" spans="1:5" x14ac:dyDescent="0.25">
      <c r="A156" t="s">
        <v>29</v>
      </c>
      <c r="B156" t="s">
        <v>39</v>
      </c>
      <c r="C156" t="s">
        <v>40</v>
      </c>
      <c r="D156">
        <v>30</v>
      </c>
      <c r="E156" t="s">
        <v>96</v>
      </c>
    </row>
    <row r="157" spans="1:5" x14ac:dyDescent="0.25">
      <c r="A157" t="s">
        <v>29</v>
      </c>
      <c r="B157" t="s">
        <v>39</v>
      </c>
      <c r="C157" t="s">
        <v>43</v>
      </c>
      <c r="D157">
        <v>60</v>
      </c>
      <c r="E157" t="s">
        <v>96</v>
      </c>
    </row>
    <row r="158" spans="1:5" x14ac:dyDescent="0.25">
      <c r="A158" t="s">
        <v>29</v>
      </c>
      <c r="B158" t="s">
        <v>39</v>
      </c>
      <c r="C158" t="s">
        <v>46</v>
      </c>
      <c r="D158">
        <v>100</v>
      </c>
      <c r="E158" t="s">
        <v>96</v>
      </c>
    </row>
    <row r="159" spans="1:5" x14ac:dyDescent="0.25">
      <c r="A159" t="s">
        <v>29</v>
      </c>
      <c r="B159" t="s">
        <v>39</v>
      </c>
      <c r="C159" t="s">
        <v>32</v>
      </c>
      <c r="D159">
        <v>200</v>
      </c>
      <c r="E159" t="s">
        <v>96</v>
      </c>
    </row>
    <row r="160" spans="1:5" x14ac:dyDescent="0.25">
      <c r="A160" t="s">
        <v>29</v>
      </c>
      <c r="B160" t="s">
        <v>39</v>
      </c>
      <c r="C160" t="s">
        <v>97</v>
      </c>
      <c r="D160">
        <v>100</v>
      </c>
      <c r="E160" t="s">
        <v>96</v>
      </c>
    </row>
    <row r="161" spans="1:5" x14ac:dyDescent="0.25">
      <c r="A161" t="s">
        <v>51</v>
      </c>
      <c r="B161" t="s">
        <v>23</v>
      </c>
      <c r="C161" s="3" t="s">
        <v>84</v>
      </c>
      <c r="D161">
        <v>125</v>
      </c>
      <c r="E161" t="s">
        <v>96</v>
      </c>
    </row>
    <row r="162" spans="1:5" x14ac:dyDescent="0.25">
      <c r="A162" t="s">
        <v>51</v>
      </c>
      <c r="B162" t="s">
        <v>23</v>
      </c>
      <c r="C162" t="s">
        <v>87</v>
      </c>
      <c r="D162" s="4" t="s">
        <v>88</v>
      </c>
      <c r="E162" t="s">
        <v>96</v>
      </c>
    </row>
    <row r="163" spans="1:5" x14ac:dyDescent="0.25">
      <c r="A163" t="s">
        <v>51</v>
      </c>
      <c r="B163" t="s">
        <v>90</v>
      </c>
      <c r="C163" t="s">
        <v>91</v>
      </c>
      <c r="D163">
        <v>200</v>
      </c>
      <c r="E163" t="s">
        <v>96</v>
      </c>
    </row>
    <row r="164" spans="1:5" x14ac:dyDescent="0.25">
      <c r="A164" t="s">
        <v>51</v>
      </c>
      <c r="B164" t="s">
        <v>90</v>
      </c>
      <c r="C164" t="s">
        <v>92</v>
      </c>
      <c r="D164">
        <v>200</v>
      </c>
      <c r="E164" t="s">
        <v>96</v>
      </c>
    </row>
    <row r="165" spans="1:5" x14ac:dyDescent="0.25">
      <c r="A165" t="s">
        <v>51</v>
      </c>
      <c r="B165" t="s">
        <v>90</v>
      </c>
      <c r="C165" t="s">
        <v>93</v>
      </c>
      <c r="D165">
        <v>100</v>
      </c>
      <c r="E165" t="s">
        <v>96</v>
      </c>
    </row>
    <row r="166" spans="1:5" x14ac:dyDescent="0.25">
      <c r="A166" t="s">
        <v>51</v>
      </c>
      <c r="B166" t="s">
        <v>31</v>
      </c>
      <c r="C166" t="s">
        <v>94</v>
      </c>
      <c r="D166">
        <v>135</v>
      </c>
      <c r="E166" t="s">
        <v>96</v>
      </c>
    </row>
    <row r="167" spans="1:5" x14ac:dyDescent="0.25">
      <c r="A167" t="s">
        <v>30</v>
      </c>
      <c r="B167" t="s">
        <v>8</v>
      </c>
      <c r="C167" t="s">
        <v>9</v>
      </c>
      <c r="D167">
        <v>30</v>
      </c>
      <c r="E167" t="s">
        <v>96</v>
      </c>
    </row>
    <row r="168" spans="1:5" x14ac:dyDescent="0.25">
      <c r="A168" t="s">
        <v>30</v>
      </c>
      <c r="B168" t="s">
        <v>8</v>
      </c>
      <c r="C168" t="s">
        <v>14</v>
      </c>
      <c r="D168">
        <v>60</v>
      </c>
      <c r="E168" t="s">
        <v>96</v>
      </c>
    </row>
    <row r="169" spans="1:5" x14ac:dyDescent="0.25">
      <c r="A169" t="s">
        <v>30</v>
      </c>
      <c r="B169" t="s">
        <v>8</v>
      </c>
      <c r="C169" t="s">
        <v>18</v>
      </c>
      <c r="D169">
        <v>100</v>
      </c>
      <c r="E169" t="s">
        <v>96</v>
      </c>
    </row>
    <row r="170" spans="1:5" x14ac:dyDescent="0.25">
      <c r="A170" t="s">
        <v>30</v>
      </c>
      <c r="B170" t="s">
        <v>8</v>
      </c>
      <c r="C170" t="s">
        <v>21</v>
      </c>
      <c r="D170">
        <v>200</v>
      </c>
      <c r="E170" t="s">
        <v>96</v>
      </c>
    </row>
    <row r="171" spans="1:5" x14ac:dyDescent="0.25">
      <c r="A171" t="s">
        <v>30</v>
      </c>
      <c r="B171" t="s">
        <v>23</v>
      </c>
      <c r="C171" t="s">
        <v>9</v>
      </c>
      <c r="D171">
        <v>30</v>
      </c>
      <c r="E171" t="s">
        <v>96</v>
      </c>
    </row>
    <row r="172" spans="1:5" x14ac:dyDescent="0.25">
      <c r="A172" t="s">
        <v>30</v>
      </c>
      <c r="B172" t="s">
        <v>23</v>
      </c>
      <c r="C172" t="s">
        <v>14</v>
      </c>
      <c r="D172">
        <v>60</v>
      </c>
      <c r="E172" t="s">
        <v>96</v>
      </c>
    </row>
    <row r="173" spans="1:5" x14ac:dyDescent="0.25">
      <c r="A173" t="s">
        <v>30</v>
      </c>
      <c r="B173" t="s">
        <v>23</v>
      </c>
      <c r="C173" t="s">
        <v>28</v>
      </c>
      <c r="D173">
        <v>100</v>
      </c>
      <c r="E173" t="s">
        <v>96</v>
      </c>
    </row>
    <row r="174" spans="1:5" x14ac:dyDescent="0.25">
      <c r="A174" t="s">
        <v>30</v>
      </c>
      <c r="B174" t="s">
        <v>23</v>
      </c>
      <c r="C174" t="s">
        <v>21</v>
      </c>
      <c r="D174">
        <v>200</v>
      </c>
      <c r="E174" t="s">
        <v>96</v>
      </c>
    </row>
    <row r="175" spans="1:5" x14ac:dyDescent="0.25">
      <c r="A175" t="s">
        <v>30</v>
      </c>
      <c r="B175" t="s">
        <v>31</v>
      </c>
      <c r="C175" t="s">
        <v>32</v>
      </c>
      <c r="D175">
        <v>200</v>
      </c>
      <c r="E175" t="s">
        <v>96</v>
      </c>
    </row>
    <row r="176" spans="1:5" x14ac:dyDescent="0.25">
      <c r="A176" t="s">
        <v>30</v>
      </c>
      <c r="B176" t="s">
        <v>31</v>
      </c>
      <c r="C176" t="s">
        <v>34</v>
      </c>
      <c r="D176">
        <v>100</v>
      </c>
      <c r="E176" t="s">
        <v>96</v>
      </c>
    </row>
    <row r="177" spans="1:5" x14ac:dyDescent="0.25">
      <c r="A177" t="s">
        <v>30</v>
      </c>
      <c r="B177" t="s">
        <v>31</v>
      </c>
      <c r="C177" t="s">
        <v>35</v>
      </c>
      <c r="D177">
        <v>30</v>
      </c>
      <c r="E177" t="s">
        <v>96</v>
      </c>
    </row>
    <row r="178" spans="1:5" x14ac:dyDescent="0.25">
      <c r="A178" t="s">
        <v>30</v>
      </c>
      <c r="B178" t="s">
        <v>31</v>
      </c>
      <c r="C178" t="s">
        <v>37</v>
      </c>
      <c r="D178">
        <v>60</v>
      </c>
      <c r="E178" t="s">
        <v>96</v>
      </c>
    </row>
    <row r="179" spans="1:5" x14ac:dyDescent="0.25">
      <c r="A179" t="s">
        <v>30</v>
      </c>
      <c r="B179" t="s">
        <v>39</v>
      </c>
      <c r="C179" t="s">
        <v>40</v>
      </c>
      <c r="D179">
        <v>30</v>
      </c>
      <c r="E179" t="s">
        <v>96</v>
      </c>
    </row>
    <row r="180" spans="1:5" x14ac:dyDescent="0.25">
      <c r="A180" t="s">
        <v>30</v>
      </c>
      <c r="B180" t="s">
        <v>39</v>
      </c>
      <c r="C180" t="s">
        <v>43</v>
      </c>
      <c r="D180">
        <v>60</v>
      </c>
      <c r="E180" t="s">
        <v>96</v>
      </c>
    </row>
    <row r="181" spans="1:5" x14ac:dyDescent="0.25">
      <c r="A181" t="s">
        <v>30</v>
      </c>
      <c r="B181" t="s">
        <v>39</v>
      </c>
      <c r="C181" t="s">
        <v>46</v>
      </c>
      <c r="D181">
        <v>100</v>
      </c>
      <c r="E181" t="s">
        <v>96</v>
      </c>
    </row>
    <row r="182" spans="1:5" x14ac:dyDescent="0.25">
      <c r="A182" t="s">
        <v>30</v>
      </c>
      <c r="B182" t="s">
        <v>39</v>
      </c>
      <c r="C182" t="s">
        <v>32</v>
      </c>
      <c r="D182">
        <v>200</v>
      </c>
      <c r="E182" t="s">
        <v>96</v>
      </c>
    </row>
    <row r="183" spans="1:5" x14ac:dyDescent="0.25">
      <c r="A183" t="s">
        <v>53</v>
      </c>
      <c r="B183" t="s">
        <v>8</v>
      </c>
      <c r="C183" t="s">
        <v>9</v>
      </c>
      <c r="D183">
        <v>30</v>
      </c>
      <c r="E183" t="s">
        <v>98</v>
      </c>
    </row>
    <row r="184" spans="1:5" x14ac:dyDescent="0.25">
      <c r="A184" t="s">
        <v>53</v>
      </c>
      <c r="B184" t="s">
        <v>8</v>
      </c>
      <c r="C184" t="s">
        <v>14</v>
      </c>
      <c r="D184">
        <v>60</v>
      </c>
      <c r="E184" t="s">
        <v>98</v>
      </c>
    </row>
    <row r="185" spans="1:5" x14ac:dyDescent="0.25">
      <c r="A185" t="s">
        <v>53</v>
      </c>
      <c r="B185" t="s">
        <v>8</v>
      </c>
      <c r="C185" t="s">
        <v>18</v>
      </c>
      <c r="D185">
        <v>100</v>
      </c>
      <c r="E185" t="s">
        <v>98</v>
      </c>
    </row>
    <row r="186" spans="1:5" x14ac:dyDescent="0.25">
      <c r="A186" t="s">
        <v>53</v>
      </c>
      <c r="B186" t="s">
        <v>8</v>
      </c>
      <c r="C186" t="s">
        <v>21</v>
      </c>
      <c r="D186">
        <v>200</v>
      </c>
      <c r="E186" t="s">
        <v>98</v>
      </c>
    </row>
    <row r="187" spans="1:5" x14ac:dyDescent="0.25">
      <c r="A187" t="s">
        <v>53</v>
      </c>
      <c r="B187" t="s">
        <v>23</v>
      </c>
      <c r="C187" t="s">
        <v>9</v>
      </c>
      <c r="D187">
        <v>30</v>
      </c>
      <c r="E187" t="s">
        <v>98</v>
      </c>
    </row>
    <row r="188" spans="1:5" x14ac:dyDescent="0.25">
      <c r="A188" t="s">
        <v>53</v>
      </c>
      <c r="B188" t="s">
        <v>23</v>
      </c>
      <c r="C188" t="s">
        <v>14</v>
      </c>
      <c r="D188">
        <v>60</v>
      </c>
      <c r="E188" t="s">
        <v>98</v>
      </c>
    </row>
    <row r="189" spans="1:5" x14ac:dyDescent="0.25">
      <c r="A189" t="s">
        <v>53</v>
      </c>
      <c r="B189" t="s">
        <v>23</v>
      </c>
      <c r="C189" t="s">
        <v>28</v>
      </c>
      <c r="D189">
        <v>100</v>
      </c>
      <c r="E189" t="s">
        <v>98</v>
      </c>
    </row>
    <row r="190" spans="1:5" x14ac:dyDescent="0.25">
      <c r="A190" t="s">
        <v>53</v>
      </c>
      <c r="B190" t="s">
        <v>23</v>
      </c>
      <c r="C190" t="s">
        <v>21</v>
      </c>
      <c r="D190">
        <v>200</v>
      </c>
      <c r="E190" t="s">
        <v>98</v>
      </c>
    </row>
    <row r="191" spans="1:5" x14ac:dyDescent="0.25">
      <c r="A191" t="s">
        <v>53</v>
      </c>
      <c r="B191" t="s">
        <v>31</v>
      </c>
      <c r="C191" t="s">
        <v>32</v>
      </c>
      <c r="D191">
        <v>200</v>
      </c>
      <c r="E191" t="s">
        <v>98</v>
      </c>
    </row>
    <row r="192" spans="1:5" x14ac:dyDescent="0.25">
      <c r="A192" t="s">
        <v>53</v>
      </c>
      <c r="B192" t="s">
        <v>31</v>
      </c>
      <c r="C192" t="s">
        <v>34</v>
      </c>
      <c r="D192">
        <v>100</v>
      </c>
      <c r="E192" t="s">
        <v>98</v>
      </c>
    </row>
    <row r="193" spans="1:5" x14ac:dyDescent="0.25">
      <c r="A193" t="s">
        <v>53</v>
      </c>
      <c r="B193" t="s">
        <v>31</v>
      </c>
      <c r="C193" t="s">
        <v>35</v>
      </c>
      <c r="D193">
        <v>30</v>
      </c>
      <c r="E193" t="s">
        <v>98</v>
      </c>
    </row>
    <row r="194" spans="1:5" x14ac:dyDescent="0.25">
      <c r="A194" t="s">
        <v>53</v>
      </c>
      <c r="B194" t="s">
        <v>31</v>
      </c>
      <c r="C194" t="s">
        <v>37</v>
      </c>
      <c r="D194">
        <v>60</v>
      </c>
      <c r="E194" t="s">
        <v>98</v>
      </c>
    </row>
    <row r="195" spans="1:5" x14ac:dyDescent="0.25">
      <c r="A195" t="s">
        <v>53</v>
      </c>
      <c r="B195" t="s">
        <v>39</v>
      </c>
      <c r="C195" t="s">
        <v>40</v>
      </c>
      <c r="D195">
        <v>30</v>
      </c>
      <c r="E195" t="s">
        <v>98</v>
      </c>
    </row>
    <row r="196" spans="1:5" x14ac:dyDescent="0.25">
      <c r="A196" t="s">
        <v>53</v>
      </c>
      <c r="B196" t="s">
        <v>39</v>
      </c>
      <c r="C196" t="s">
        <v>43</v>
      </c>
      <c r="D196">
        <v>60</v>
      </c>
      <c r="E196" t="s">
        <v>98</v>
      </c>
    </row>
    <row r="197" spans="1:5" x14ac:dyDescent="0.25">
      <c r="A197" t="s">
        <v>53</v>
      </c>
      <c r="B197" t="s">
        <v>39</v>
      </c>
      <c r="C197" t="s">
        <v>46</v>
      </c>
      <c r="D197">
        <v>100</v>
      </c>
      <c r="E197" t="s">
        <v>98</v>
      </c>
    </row>
    <row r="198" spans="1:5" x14ac:dyDescent="0.25">
      <c r="A198" t="s">
        <v>53</v>
      </c>
      <c r="B198" t="s">
        <v>39</v>
      </c>
      <c r="C198" t="s">
        <v>32</v>
      </c>
      <c r="D198">
        <v>200</v>
      </c>
      <c r="E198" t="s">
        <v>98</v>
      </c>
    </row>
    <row r="199" spans="1:5" x14ac:dyDescent="0.25">
      <c r="A199" t="s">
        <v>55</v>
      </c>
      <c r="B199" t="s">
        <v>23</v>
      </c>
      <c r="C199" s="3" t="s">
        <v>84</v>
      </c>
      <c r="D199">
        <v>125</v>
      </c>
      <c r="E199" t="s">
        <v>98</v>
      </c>
    </row>
    <row r="200" spans="1:5" x14ac:dyDescent="0.25">
      <c r="A200" t="s">
        <v>55</v>
      </c>
      <c r="B200" t="s">
        <v>23</v>
      </c>
      <c r="C200" t="s">
        <v>87</v>
      </c>
      <c r="D200" s="4" t="s">
        <v>88</v>
      </c>
      <c r="E200" t="s">
        <v>98</v>
      </c>
    </row>
    <row r="201" spans="1:5" x14ac:dyDescent="0.25">
      <c r="A201" t="s">
        <v>55</v>
      </c>
      <c r="B201" t="s">
        <v>90</v>
      </c>
      <c r="C201" t="s">
        <v>91</v>
      </c>
      <c r="D201">
        <v>200</v>
      </c>
      <c r="E201" t="s">
        <v>98</v>
      </c>
    </row>
    <row r="202" spans="1:5" x14ac:dyDescent="0.25">
      <c r="A202" t="s">
        <v>55</v>
      </c>
      <c r="B202" t="s">
        <v>90</v>
      </c>
      <c r="C202" t="s">
        <v>92</v>
      </c>
      <c r="D202">
        <v>200</v>
      </c>
      <c r="E202" t="s">
        <v>98</v>
      </c>
    </row>
    <row r="203" spans="1:5" x14ac:dyDescent="0.25">
      <c r="A203" t="s">
        <v>55</v>
      </c>
      <c r="B203" t="s">
        <v>90</v>
      </c>
      <c r="C203" t="s">
        <v>93</v>
      </c>
      <c r="D203">
        <v>100</v>
      </c>
      <c r="E203" t="s">
        <v>98</v>
      </c>
    </row>
    <row r="204" spans="1:5" x14ac:dyDescent="0.25">
      <c r="A204" t="s">
        <v>55</v>
      </c>
      <c r="B204" t="s">
        <v>31</v>
      </c>
      <c r="C204" t="s">
        <v>94</v>
      </c>
      <c r="D204">
        <v>135</v>
      </c>
      <c r="E204" t="s">
        <v>98</v>
      </c>
    </row>
    <row r="205" spans="1:5" x14ac:dyDescent="0.25">
      <c r="A205" t="s">
        <v>57</v>
      </c>
      <c r="B205" t="s">
        <v>23</v>
      </c>
      <c r="C205" t="s">
        <v>9</v>
      </c>
      <c r="D205">
        <v>30</v>
      </c>
      <c r="E205" t="s">
        <v>99</v>
      </c>
    </row>
    <row r="206" spans="1:5" x14ac:dyDescent="0.25">
      <c r="A206" t="s">
        <v>57</v>
      </c>
      <c r="B206" t="s">
        <v>23</v>
      </c>
      <c r="C206" t="s">
        <v>14</v>
      </c>
      <c r="D206">
        <v>60</v>
      </c>
      <c r="E206" t="s">
        <v>99</v>
      </c>
    </row>
    <row r="207" spans="1:5" x14ac:dyDescent="0.25">
      <c r="A207" t="s">
        <v>57</v>
      </c>
      <c r="B207" t="s">
        <v>23</v>
      </c>
      <c r="C207" t="s">
        <v>28</v>
      </c>
      <c r="D207">
        <v>100</v>
      </c>
      <c r="E207" t="s">
        <v>99</v>
      </c>
    </row>
    <row r="208" spans="1:5" x14ac:dyDescent="0.25">
      <c r="A208" t="s">
        <v>57</v>
      </c>
      <c r="B208" t="s">
        <v>23</v>
      </c>
      <c r="C208" t="s">
        <v>21</v>
      </c>
      <c r="D208">
        <v>200</v>
      </c>
      <c r="E208" t="s">
        <v>99</v>
      </c>
    </row>
    <row r="209" spans="1:5" x14ac:dyDescent="0.25">
      <c r="A209" t="s">
        <v>57</v>
      </c>
      <c r="B209" t="s">
        <v>31</v>
      </c>
      <c r="C209" t="s">
        <v>32</v>
      </c>
      <c r="D209">
        <v>200</v>
      </c>
      <c r="E209" t="s">
        <v>99</v>
      </c>
    </row>
    <row r="210" spans="1:5" x14ac:dyDescent="0.25">
      <c r="A210" t="s">
        <v>57</v>
      </c>
      <c r="B210" t="s">
        <v>31</v>
      </c>
      <c r="C210" t="s">
        <v>34</v>
      </c>
      <c r="D210">
        <v>100</v>
      </c>
      <c r="E210" t="s">
        <v>99</v>
      </c>
    </row>
    <row r="211" spans="1:5" x14ac:dyDescent="0.25">
      <c r="A211" t="s">
        <v>57</v>
      </c>
      <c r="B211" t="s">
        <v>31</v>
      </c>
      <c r="C211" t="s">
        <v>35</v>
      </c>
      <c r="D211">
        <v>30</v>
      </c>
      <c r="E211" t="s">
        <v>99</v>
      </c>
    </row>
    <row r="212" spans="1:5" x14ac:dyDescent="0.25">
      <c r="A212" t="s">
        <v>57</v>
      </c>
      <c r="B212" t="s">
        <v>31</v>
      </c>
      <c r="C212" t="s">
        <v>37</v>
      </c>
      <c r="D212">
        <v>60</v>
      </c>
      <c r="E212" t="s">
        <v>99</v>
      </c>
    </row>
    <row r="213" spans="1:5" x14ac:dyDescent="0.25">
      <c r="A213" t="s">
        <v>57</v>
      </c>
      <c r="B213" t="s">
        <v>39</v>
      </c>
      <c r="C213" t="s">
        <v>40</v>
      </c>
      <c r="D213">
        <v>30</v>
      </c>
      <c r="E213" t="s">
        <v>99</v>
      </c>
    </row>
    <row r="214" spans="1:5" x14ac:dyDescent="0.25">
      <c r="A214" t="s">
        <v>57</v>
      </c>
      <c r="B214" t="s">
        <v>39</v>
      </c>
      <c r="C214" t="s">
        <v>43</v>
      </c>
      <c r="D214">
        <v>60</v>
      </c>
      <c r="E214" t="s">
        <v>99</v>
      </c>
    </row>
    <row r="215" spans="1:5" x14ac:dyDescent="0.25">
      <c r="A215" t="s">
        <v>57</v>
      </c>
      <c r="B215" t="s">
        <v>39</v>
      </c>
      <c r="C215" t="s">
        <v>46</v>
      </c>
      <c r="D215">
        <v>100</v>
      </c>
      <c r="E215" t="s">
        <v>99</v>
      </c>
    </row>
    <row r="216" spans="1:5" x14ac:dyDescent="0.25">
      <c r="A216" t="s">
        <v>57</v>
      </c>
      <c r="B216" t="s">
        <v>39</v>
      </c>
      <c r="C216" t="s">
        <v>32</v>
      </c>
      <c r="D216">
        <v>200</v>
      </c>
      <c r="E216" t="s">
        <v>99</v>
      </c>
    </row>
    <row r="217" spans="1:5" x14ac:dyDescent="0.25">
      <c r="A217" t="s">
        <v>55</v>
      </c>
      <c r="B217" t="s">
        <v>23</v>
      </c>
      <c r="C217" s="3" t="s">
        <v>84</v>
      </c>
      <c r="D217">
        <v>125</v>
      </c>
      <c r="E217" s="6" t="s">
        <v>100</v>
      </c>
    </row>
    <row r="218" spans="1:5" x14ac:dyDescent="0.25">
      <c r="A218" t="s">
        <v>55</v>
      </c>
      <c r="B218" t="s">
        <v>23</v>
      </c>
      <c r="C218" t="s">
        <v>87</v>
      </c>
      <c r="D218" s="4" t="s">
        <v>88</v>
      </c>
      <c r="E218" s="6" t="s">
        <v>100</v>
      </c>
    </row>
    <row r="219" spans="1:5" x14ac:dyDescent="0.25">
      <c r="A219" t="s">
        <v>55</v>
      </c>
      <c r="B219" t="s">
        <v>90</v>
      </c>
      <c r="C219" t="s">
        <v>91</v>
      </c>
      <c r="D219">
        <v>200</v>
      </c>
      <c r="E219" s="6" t="s">
        <v>100</v>
      </c>
    </row>
    <row r="220" spans="1:5" x14ac:dyDescent="0.25">
      <c r="A220" t="s">
        <v>55</v>
      </c>
      <c r="B220" t="s">
        <v>90</v>
      </c>
      <c r="C220" t="s">
        <v>92</v>
      </c>
      <c r="D220">
        <v>200</v>
      </c>
      <c r="E220" s="6" t="s">
        <v>100</v>
      </c>
    </row>
    <row r="221" spans="1:5" x14ac:dyDescent="0.25">
      <c r="A221" t="s">
        <v>55</v>
      </c>
      <c r="B221" t="s">
        <v>90</v>
      </c>
      <c r="C221" t="s">
        <v>93</v>
      </c>
      <c r="D221">
        <v>100</v>
      </c>
      <c r="E221" s="6" t="s">
        <v>100</v>
      </c>
    </row>
    <row r="222" spans="1:5" x14ac:dyDescent="0.25">
      <c r="A222" t="s">
        <v>55</v>
      </c>
      <c r="B222" t="s">
        <v>31</v>
      </c>
      <c r="C222" t="s">
        <v>94</v>
      </c>
      <c r="D222">
        <v>135</v>
      </c>
      <c r="E222" s="6" t="s">
        <v>100</v>
      </c>
    </row>
    <row r="223" spans="1:5" x14ac:dyDescent="0.25">
      <c r="A223" t="s">
        <v>53</v>
      </c>
      <c r="B223" t="s">
        <v>23</v>
      </c>
      <c r="C223" t="s">
        <v>9</v>
      </c>
      <c r="D223">
        <v>30</v>
      </c>
      <c r="E223" s="6" t="s">
        <v>101</v>
      </c>
    </row>
    <row r="224" spans="1:5" x14ac:dyDescent="0.25">
      <c r="A224" t="s">
        <v>53</v>
      </c>
      <c r="B224" t="s">
        <v>23</v>
      </c>
      <c r="C224" t="s">
        <v>14</v>
      </c>
      <c r="D224">
        <v>60</v>
      </c>
      <c r="E224" s="6" t="s">
        <v>101</v>
      </c>
    </row>
    <row r="225" spans="1:5" x14ac:dyDescent="0.25">
      <c r="A225" t="s">
        <v>53</v>
      </c>
      <c r="B225" t="s">
        <v>23</v>
      </c>
      <c r="C225" t="s">
        <v>28</v>
      </c>
      <c r="D225">
        <v>100</v>
      </c>
      <c r="E225" s="6" t="s">
        <v>101</v>
      </c>
    </row>
    <row r="226" spans="1:5" x14ac:dyDescent="0.25">
      <c r="A226" t="s">
        <v>53</v>
      </c>
      <c r="B226" t="s">
        <v>23</v>
      </c>
      <c r="C226" t="s">
        <v>21</v>
      </c>
      <c r="D226">
        <v>200</v>
      </c>
      <c r="E226" s="6" t="s">
        <v>101</v>
      </c>
    </row>
    <row r="227" spans="1:5" x14ac:dyDescent="0.25">
      <c r="A227" t="s">
        <v>53</v>
      </c>
      <c r="B227" t="s">
        <v>31</v>
      </c>
      <c r="C227" t="s">
        <v>32</v>
      </c>
      <c r="D227">
        <v>200</v>
      </c>
      <c r="E227" s="6" t="s">
        <v>101</v>
      </c>
    </row>
    <row r="228" spans="1:5" x14ac:dyDescent="0.25">
      <c r="A228" t="s">
        <v>53</v>
      </c>
      <c r="B228" t="s">
        <v>31</v>
      </c>
      <c r="C228" t="s">
        <v>34</v>
      </c>
      <c r="D228">
        <v>100</v>
      </c>
      <c r="E228" s="6" t="s">
        <v>101</v>
      </c>
    </row>
    <row r="229" spans="1:5" x14ac:dyDescent="0.25">
      <c r="A229" t="s">
        <v>53</v>
      </c>
      <c r="B229" t="s">
        <v>31</v>
      </c>
      <c r="C229" t="s">
        <v>35</v>
      </c>
      <c r="D229">
        <v>30</v>
      </c>
      <c r="E229" s="6" t="s">
        <v>101</v>
      </c>
    </row>
    <row r="230" spans="1:5" x14ac:dyDescent="0.25">
      <c r="A230" t="s">
        <v>53</v>
      </c>
      <c r="B230" t="s">
        <v>31</v>
      </c>
      <c r="C230" t="s">
        <v>37</v>
      </c>
      <c r="D230">
        <v>60</v>
      </c>
      <c r="E230" s="6" t="s">
        <v>101</v>
      </c>
    </row>
    <row r="231" spans="1:5" x14ac:dyDescent="0.25">
      <c r="A231" t="s">
        <v>53</v>
      </c>
      <c r="B231" t="s">
        <v>39</v>
      </c>
      <c r="C231" t="s">
        <v>40</v>
      </c>
      <c r="D231">
        <v>30</v>
      </c>
      <c r="E231" s="6" t="s">
        <v>101</v>
      </c>
    </row>
    <row r="232" spans="1:5" x14ac:dyDescent="0.25">
      <c r="A232" t="s">
        <v>53</v>
      </c>
      <c r="B232" t="s">
        <v>39</v>
      </c>
      <c r="C232" t="s">
        <v>43</v>
      </c>
      <c r="D232">
        <v>60</v>
      </c>
      <c r="E232" s="6" t="s">
        <v>101</v>
      </c>
    </row>
    <row r="233" spans="1:5" x14ac:dyDescent="0.25">
      <c r="A233" t="s">
        <v>53</v>
      </c>
      <c r="B233" t="s">
        <v>39</v>
      </c>
      <c r="C233" t="s">
        <v>46</v>
      </c>
      <c r="D233">
        <v>100</v>
      </c>
      <c r="E233" s="6" t="s">
        <v>101</v>
      </c>
    </row>
    <row r="234" spans="1:5" x14ac:dyDescent="0.25">
      <c r="A234" t="s">
        <v>53</v>
      </c>
      <c r="B234" t="s">
        <v>39</v>
      </c>
      <c r="C234" t="s">
        <v>32</v>
      </c>
      <c r="D234">
        <v>200</v>
      </c>
      <c r="E234" s="6" t="s">
        <v>101</v>
      </c>
    </row>
    <row r="235" spans="1:5" x14ac:dyDescent="0.25">
      <c r="A235" t="s">
        <v>59</v>
      </c>
      <c r="B235" t="s">
        <v>8</v>
      </c>
      <c r="C235" t="s">
        <v>50</v>
      </c>
      <c r="D235">
        <v>30</v>
      </c>
      <c r="E235" t="s">
        <v>6</v>
      </c>
    </row>
    <row r="236" spans="1:5" x14ac:dyDescent="0.25">
      <c r="A236" t="s">
        <v>59</v>
      </c>
      <c r="B236" t="s">
        <v>8</v>
      </c>
      <c r="C236" t="s">
        <v>52</v>
      </c>
      <c r="D236">
        <v>60</v>
      </c>
      <c r="E236" t="s">
        <v>6</v>
      </c>
    </row>
    <row r="237" spans="1:5" x14ac:dyDescent="0.25">
      <c r="A237" t="s">
        <v>59</v>
      </c>
      <c r="B237" t="s">
        <v>8</v>
      </c>
      <c r="C237" t="s">
        <v>54</v>
      </c>
      <c r="D237">
        <v>100</v>
      </c>
      <c r="E237" t="s">
        <v>6</v>
      </c>
    </row>
    <row r="238" spans="1:5" x14ac:dyDescent="0.25">
      <c r="A238" t="s">
        <v>59</v>
      </c>
      <c r="B238" t="s">
        <v>8</v>
      </c>
      <c r="C238" t="s">
        <v>56</v>
      </c>
      <c r="D238">
        <v>200</v>
      </c>
      <c r="E238" t="s">
        <v>6</v>
      </c>
    </row>
    <row r="239" spans="1:5" x14ac:dyDescent="0.25">
      <c r="A239" t="s">
        <v>59</v>
      </c>
      <c r="B239" t="s">
        <v>23</v>
      </c>
      <c r="C239" t="s">
        <v>50</v>
      </c>
      <c r="D239">
        <v>30</v>
      </c>
      <c r="E239" t="s">
        <v>6</v>
      </c>
    </row>
    <row r="240" spans="1:5" x14ac:dyDescent="0.25">
      <c r="A240" t="s">
        <v>59</v>
      </c>
      <c r="B240" t="s">
        <v>23</v>
      </c>
      <c r="C240" t="s">
        <v>52</v>
      </c>
      <c r="D240">
        <v>60</v>
      </c>
      <c r="E240" t="s">
        <v>6</v>
      </c>
    </row>
    <row r="241" spans="1:5" x14ac:dyDescent="0.25">
      <c r="A241" t="s">
        <v>59</v>
      </c>
      <c r="B241" t="s">
        <v>23</v>
      </c>
      <c r="C241" t="s">
        <v>54</v>
      </c>
      <c r="D241">
        <v>100</v>
      </c>
      <c r="E241" t="s">
        <v>6</v>
      </c>
    </row>
    <row r="242" spans="1:5" x14ac:dyDescent="0.25">
      <c r="A242" t="s">
        <v>59</v>
      </c>
      <c r="B242" t="s">
        <v>23</v>
      </c>
      <c r="C242" t="s">
        <v>56</v>
      </c>
      <c r="D242">
        <v>200</v>
      </c>
      <c r="E242" t="s">
        <v>6</v>
      </c>
    </row>
    <row r="243" spans="1:5" x14ac:dyDescent="0.25">
      <c r="A243" t="s">
        <v>59</v>
      </c>
      <c r="B243" t="s">
        <v>31</v>
      </c>
      <c r="C243" t="s">
        <v>62</v>
      </c>
      <c r="D243">
        <v>200</v>
      </c>
      <c r="E243" t="s">
        <v>6</v>
      </c>
    </row>
    <row r="244" spans="1:5" x14ac:dyDescent="0.25">
      <c r="A244" t="s">
        <v>59</v>
      </c>
      <c r="B244" t="s">
        <v>31</v>
      </c>
      <c r="C244" t="s">
        <v>63</v>
      </c>
      <c r="D244">
        <v>100</v>
      </c>
      <c r="E244" t="s">
        <v>6</v>
      </c>
    </row>
    <row r="245" spans="1:5" x14ac:dyDescent="0.25">
      <c r="A245" t="s">
        <v>59</v>
      </c>
      <c r="B245" t="s">
        <v>31</v>
      </c>
      <c r="C245" t="s">
        <v>66</v>
      </c>
      <c r="D245">
        <v>30</v>
      </c>
      <c r="E245" t="s">
        <v>6</v>
      </c>
    </row>
    <row r="246" spans="1:5" x14ac:dyDescent="0.25">
      <c r="A246" t="s">
        <v>59</v>
      </c>
      <c r="B246" t="s">
        <v>31</v>
      </c>
      <c r="C246" t="s">
        <v>68</v>
      </c>
      <c r="D246">
        <v>60</v>
      </c>
      <c r="E246" t="s">
        <v>6</v>
      </c>
    </row>
    <row r="247" spans="1:5" x14ac:dyDescent="0.25">
      <c r="A247" t="s">
        <v>59</v>
      </c>
      <c r="B247" t="s">
        <v>39</v>
      </c>
      <c r="C247" t="s">
        <v>70</v>
      </c>
      <c r="D247">
        <v>30</v>
      </c>
      <c r="E247" t="s">
        <v>6</v>
      </c>
    </row>
    <row r="248" spans="1:5" x14ac:dyDescent="0.25">
      <c r="A248" t="s">
        <v>60</v>
      </c>
      <c r="B248" t="s">
        <v>8</v>
      </c>
      <c r="C248" t="s">
        <v>50</v>
      </c>
      <c r="D248">
        <v>30</v>
      </c>
      <c r="E248" t="s">
        <v>6</v>
      </c>
    </row>
    <row r="249" spans="1:5" x14ac:dyDescent="0.25">
      <c r="A249" t="s">
        <v>60</v>
      </c>
      <c r="B249" t="s">
        <v>8</v>
      </c>
      <c r="C249" t="s">
        <v>52</v>
      </c>
      <c r="D249">
        <v>60</v>
      </c>
      <c r="E249" t="s">
        <v>6</v>
      </c>
    </row>
    <row r="250" spans="1:5" x14ac:dyDescent="0.25">
      <c r="A250" t="s">
        <v>60</v>
      </c>
      <c r="B250" t="s">
        <v>8</v>
      </c>
      <c r="C250" t="s">
        <v>54</v>
      </c>
      <c r="D250">
        <v>100</v>
      </c>
      <c r="E250" t="s">
        <v>6</v>
      </c>
    </row>
    <row r="251" spans="1:5" x14ac:dyDescent="0.25">
      <c r="A251" t="s">
        <v>60</v>
      </c>
      <c r="B251" t="s">
        <v>8</v>
      </c>
      <c r="C251" t="s">
        <v>56</v>
      </c>
      <c r="D251">
        <v>200</v>
      </c>
      <c r="E251" t="s">
        <v>6</v>
      </c>
    </row>
    <row r="252" spans="1:5" x14ac:dyDescent="0.25">
      <c r="A252" t="s">
        <v>60</v>
      </c>
      <c r="B252" t="s">
        <v>23</v>
      </c>
      <c r="C252" t="s">
        <v>50</v>
      </c>
      <c r="D252">
        <v>30</v>
      </c>
      <c r="E252" t="s">
        <v>6</v>
      </c>
    </row>
    <row r="253" spans="1:5" x14ac:dyDescent="0.25">
      <c r="A253" t="s">
        <v>60</v>
      </c>
      <c r="B253" t="s">
        <v>23</v>
      </c>
      <c r="C253" t="s">
        <v>52</v>
      </c>
      <c r="D253">
        <v>60</v>
      </c>
      <c r="E253" t="s">
        <v>6</v>
      </c>
    </row>
    <row r="254" spans="1:5" x14ac:dyDescent="0.25">
      <c r="A254" t="s">
        <v>60</v>
      </c>
      <c r="B254" t="s">
        <v>23</v>
      </c>
      <c r="C254" t="s">
        <v>54</v>
      </c>
      <c r="D254">
        <v>100</v>
      </c>
      <c r="E254" t="s">
        <v>6</v>
      </c>
    </row>
    <row r="255" spans="1:5" x14ac:dyDescent="0.25">
      <c r="A255" t="s">
        <v>60</v>
      </c>
      <c r="B255" t="s">
        <v>23</v>
      </c>
      <c r="C255" t="s">
        <v>56</v>
      </c>
      <c r="D255">
        <v>200</v>
      </c>
      <c r="E255" t="s">
        <v>6</v>
      </c>
    </row>
    <row r="256" spans="1:5" x14ac:dyDescent="0.25">
      <c r="A256" t="s">
        <v>60</v>
      </c>
      <c r="B256" t="s">
        <v>31</v>
      </c>
      <c r="C256" t="s">
        <v>62</v>
      </c>
      <c r="D256">
        <v>200</v>
      </c>
      <c r="E256" t="s">
        <v>6</v>
      </c>
    </row>
    <row r="257" spans="1:5" x14ac:dyDescent="0.25">
      <c r="A257" t="s">
        <v>60</v>
      </c>
      <c r="B257" t="s">
        <v>31</v>
      </c>
      <c r="C257" t="s">
        <v>63</v>
      </c>
      <c r="D257">
        <v>100</v>
      </c>
      <c r="E257" t="s">
        <v>6</v>
      </c>
    </row>
    <row r="258" spans="1:5" x14ac:dyDescent="0.25">
      <c r="A258" t="s">
        <v>60</v>
      </c>
      <c r="B258" t="s">
        <v>31</v>
      </c>
      <c r="C258" t="s">
        <v>66</v>
      </c>
      <c r="D258">
        <v>30</v>
      </c>
      <c r="E258" t="s">
        <v>6</v>
      </c>
    </row>
    <row r="259" spans="1:5" x14ac:dyDescent="0.25">
      <c r="A259" t="s">
        <v>60</v>
      </c>
      <c r="B259" t="s">
        <v>31</v>
      </c>
      <c r="C259" t="s">
        <v>68</v>
      </c>
      <c r="D259">
        <v>60</v>
      </c>
      <c r="E259" t="s">
        <v>6</v>
      </c>
    </row>
    <row r="260" spans="1:5" x14ac:dyDescent="0.25">
      <c r="A260" t="s">
        <v>60</v>
      </c>
      <c r="B260" t="s">
        <v>39</v>
      </c>
      <c r="C260" t="s">
        <v>70</v>
      </c>
      <c r="D260">
        <v>30</v>
      </c>
      <c r="E260" t="s">
        <v>6</v>
      </c>
    </row>
    <row r="261" spans="1:5" x14ac:dyDescent="0.25">
      <c r="A261" t="s">
        <v>47</v>
      </c>
      <c r="B261" s="7" t="s">
        <v>102</v>
      </c>
      <c r="C261" s="8" t="s">
        <v>103</v>
      </c>
      <c r="D261">
        <v>125</v>
      </c>
      <c r="E261" t="s">
        <v>96</v>
      </c>
    </row>
    <row r="262" spans="1:5" ht="30" customHeight="1" x14ac:dyDescent="0.25">
      <c r="A262" t="s">
        <v>47</v>
      </c>
      <c r="B262" s="8" t="s">
        <v>102</v>
      </c>
      <c r="C262" s="8" t="s">
        <v>104</v>
      </c>
      <c r="D262">
        <v>125</v>
      </c>
      <c r="E262" t="s">
        <v>96</v>
      </c>
    </row>
    <row r="263" spans="1:5" ht="30" customHeight="1" x14ac:dyDescent="0.25">
      <c r="A263" t="s">
        <v>47</v>
      </c>
      <c r="B263" s="8" t="s">
        <v>102</v>
      </c>
      <c r="C263" s="8" t="s">
        <v>105</v>
      </c>
      <c r="D263">
        <v>125</v>
      </c>
      <c r="E263" t="s">
        <v>96</v>
      </c>
    </row>
    <row r="264" spans="1:5" x14ac:dyDescent="0.25">
      <c r="A264" t="s">
        <v>47</v>
      </c>
      <c r="B264" s="8" t="s">
        <v>102</v>
      </c>
      <c r="C264" s="8" t="s">
        <v>106</v>
      </c>
      <c r="D264">
        <v>125</v>
      </c>
      <c r="E264" t="s">
        <v>96</v>
      </c>
    </row>
    <row r="265" spans="1:5" ht="30" customHeight="1" x14ac:dyDescent="0.25">
      <c r="A265" t="s">
        <v>47</v>
      </c>
      <c r="B265" s="8" t="s">
        <v>102</v>
      </c>
      <c r="C265" s="8" t="s">
        <v>107</v>
      </c>
      <c r="D265">
        <v>125</v>
      </c>
      <c r="E265" t="s">
        <v>96</v>
      </c>
    </row>
    <row r="266" spans="1:5" x14ac:dyDescent="0.25">
      <c r="A266" t="s">
        <v>47</v>
      </c>
      <c r="B266" s="8" t="s">
        <v>102</v>
      </c>
      <c r="C266" s="8" t="s">
        <v>108</v>
      </c>
      <c r="D266">
        <v>125</v>
      </c>
      <c r="E266" t="s">
        <v>96</v>
      </c>
    </row>
    <row r="267" spans="1:5" x14ac:dyDescent="0.25">
      <c r="A267" t="s">
        <v>47</v>
      </c>
      <c r="B267" s="8" t="s">
        <v>102</v>
      </c>
      <c r="C267" s="8" t="s">
        <v>109</v>
      </c>
      <c r="D267">
        <v>125</v>
      </c>
      <c r="E267" t="s">
        <v>96</v>
      </c>
    </row>
    <row r="268" spans="1:5" x14ac:dyDescent="0.25">
      <c r="A268" t="s">
        <v>47</v>
      </c>
      <c r="B268" s="8" t="s">
        <v>102</v>
      </c>
      <c r="C268" s="8" t="s">
        <v>110</v>
      </c>
      <c r="D268">
        <v>125</v>
      </c>
      <c r="E268" t="s">
        <v>96</v>
      </c>
    </row>
    <row r="269" spans="1:5" x14ac:dyDescent="0.25">
      <c r="A269" t="s">
        <v>47</v>
      </c>
      <c r="B269" s="8" t="s">
        <v>102</v>
      </c>
      <c r="C269" s="8" t="s">
        <v>111</v>
      </c>
      <c r="D269">
        <v>125</v>
      </c>
      <c r="E269" t="s">
        <v>96</v>
      </c>
    </row>
    <row r="270" spans="1:5" x14ac:dyDescent="0.25">
      <c r="A270" t="s">
        <v>47</v>
      </c>
      <c r="B270" s="8" t="s">
        <v>102</v>
      </c>
      <c r="C270" s="8" t="s">
        <v>112</v>
      </c>
      <c r="D270">
        <v>200</v>
      </c>
      <c r="E270" t="s">
        <v>96</v>
      </c>
    </row>
    <row r="271" spans="1:5" x14ac:dyDescent="0.25">
      <c r="A271" t="s">
        <v>47</v>
      </c>
      <c r="B271" s="8" t="s">
        <v>102</v>
      </c>
      <c r="C271" s="8" t="s">
        <v>113</v>
      </c>
      <c r="D271">
        <v>200</v>
      </c>
      <c r="E271" t="s">
        <v>96</v>
      </c>
    </row>
    <row r="272" spans="1:5" x14ac:dyDescent="0.25">
      <c r="A272" t="s">
        <v>47</v>
      </c>
      <c r="B272" s="8" t="s">
        <v>102</v>
      </c>
      <c r="C272" s="8" t="s">
        <v>114</v>
      </c>
      <c r="D272">
        <v>200</v>
      </c>
      <c r="E272" t="s">
        <v>96</v>
      </c>
    </row>
    <row r="273" spans="1:5" x14ac:dyDescent="0.25">
      <c r="A273" t="s">
        <v>47</v>
      </c>
      <c r="B273" s="8" t="s">
        <v>102</v>
      </c>
      <c r="C273" s="8" t="s">
        <v>115</v>
      </c>
      <c r="D273">
        <v>200</v>
      </c>
      <c r="E273" t="s">
        <v>96</v>
      </c>
    </row>
    <row r="274" spans="1:5" x14ac:dyDescent="0.25">
      <c r="A274" t="s">
        <v>47</v>
      </c>
      <c r="B274" s="8" t="s">
        <v>102</v>
      </c>
      <c r="C274" s="8" t="s">
        <v>116</v>
      </c>
      <c r="D274">
        <v>200</v>
      </c>
      <c r="E274" t="s">
        <v>96</v>
      </c>
    </row>
    <row r="275" spans="1:5" x14ac:dyDescent="0.25">
      <c r="A275" t="s">
        <v>47</v>
      </c>
      <c r="B275" s="8" t="s">
        <v>102</v>
      </c>
      <c r="C275" s="8" t="s">
        <v>117</v>
      </c>
      <c r="D275">
        <v>200</v>
      </c>
      <c r="E275" t="s">
        <v>96</v>
      </c>
    </row>
    <row r="276" spans="1:5" x14ac:dyDescent="0.25">
      <c r="A276" t="s">
        <v>47</v>
      </c>
      <c r="B276" s="8" t="s">
        <v>102</v>
      </c>
      <c r="C276" s="8" t="s">
        <v>118</v>
      </c>
      <c r="D276">
        <v>200</v>
      </c>
      <c r="E276" t="s">
        <v>96</v>
      </c>
    </row>
    <row r="277" spans="1:5" x14ac:dyDescent="0.25">
      <c r="A277" t="s">
        <v>47</v>
      </c>
      <c r="B277" s="8" t="s">
        <v>102</v>
      </c>
      <c r="C277" s="8" t="s">
        <v>119</v>
      </c>
      <c r="D277">
        <v>200</v>
      </c>
      <c r="E277" t="s">
        <v>96</v>
      </c>
    </row>
    <row r="278" spans="1:5" x14ac:dyDescent="0.25">
      <c r="A278" t="s">
        <v>47</v>
      </c>
      <c r="B278" s="8" t="s">
        <v>102</v>
      </c>
      <c r="C278" s="8" t="s">
        <v>120</v>
      </c>
      <c r="D278">
        <v>200</v>
      </c>
      <c r="E278" t="s">
        <v>96</v>
      </c>
    </row>
    <row r="279" spans="1:5" x14ac:dyDescent="0.25">
      <c r="A279" t="s">
        <v>47</v>
      </c>
      <c r="B279" s="8" t="s">
        <v>102</v>
      </c>
      <c r="C279" s="8" t="s">
        <v>121</v>
      </c>
      <c r="D279">
        <v>200</v>
      </c>
      <c r="E279" t="s">
        <v>96</v>
      </c>
    </row>
    <row r="280" spans="1:5" x14ac:dyDescent="0.25">
      <c r="A280" t="s">
        <v>47</v>
      </c>
      <c r="B280" s="8" t="s">
        <v>102</v>
      </c>
      <c r="C280" s="8" t="s">
        <v>122</v>
      </c>
      <c r="D280">
        <v>200</v>
      </c>
      <c r="E280" t="s">
        <v>96</v>
      </c>
    </row>
    <row r="281" spans="1:5" x14ac:dyDescent="0.25">
      <c r="A281" t="s">
        <v>47</v>
      </c>
      <c r="B281" s="7" t="s">
        <v>123</v>
      </c>
      <c r="C281" s="8" t="s">
        <v>124</v>
      </c>
      <c r="D281">
        <v>100</v>
      </c>
      <c r="E281" t="s">
        <v>96</v>
      </c>
    </row>
    <row r="282" spans="1:5" x14ac:dyDescent="0.25">
      <c r="A282" t="s">
        <v>47</v>
      </c>
      <c r="B282" s="8" t="s">
        <v>123</v>
      </c>
      <c r="C282" s="8" t="s">
        <v>125</v>
      </c>
      <c r="D282">
        <v>100</v>
      </c>
      <c r="E282" t="s">
        <v>96</v>
      </c>
    </row>
    <row r="283" spans="1:5" x14ac:dyDescent="0.25">
      <c r="A283" t="s">
        <v>47</v>
      </c>
      <c r="B283" s="8" t="s">
        <v>123</v>
      </c>
      <c r="C283" s="8" t="s">
        <v>126</v>
      </c>
      <c r="D283">
        <v>100</v>
      </c>
      <c r="E283" t="s">
        <v>96</v>
      </c>
    </row>
    <row r="284" spans="1:5" x14ac:dyDescent="0.25">
      <c r="A284" t="s">
        <v>47</v>
      </c>
      <c r="B284" s="8" t="s">
        <v>123</v>
      </c>
      <c r="C284" s="8" t="s">
        <v>127</v>
      </c>
      <c r="D284">
        <v>100</v>
      </c>
      <c r="E284" t="s">
        <v>96</v>
      </c>
    </row>
    <row r="285" spans="1:5" x14ac:dyDescent="0.25">
      <c r="A285" t="s">
        <v>47</v>
      </c>
      <c r="B285" s="8" t="s">
        <v>123</v>
      </c>
      <c r="C285" s="8" t="s">
        <v>128</v>
      </c>
      <c r="D285">
        <v>125</v>
      </c>
      <c r="E285" t="s">
        <v>96</v>
      </c>
    </row>
    <row r="286" spans="1:5" x14ac:dyDescent="0.25">
      <c r="A286" t="s">
        <v>47</v>
      </c>
      <c r="B286" s="8" t="s">
        <v>123</v>
      </c>
      <c r="C286" s="8" t="s">
        <v>129</v>
      </c>
      <c r="D286">
        <v>125</v>
      </c>
      <c r="E286" t="s">
        <v>96</v>
      </c>
    </row>
    <row r="287" spans="1:5" x14ac:dyDescent="0.25">
      <c r="A287" t="s">
        <v>47</v>
      </c>
      <c r="B287" s="8" t="s">
        <v>123</v>
      </c>
      <c r="C287" s="8" t="s">
        <v>130</v>
      </c>
      <c r="D287">
        <v>200</v>
      </c>
      <c r="E287" t="s">
        <v>96</v>
      </c>
    </row>
    <row r="288" spans="1:5" x14ac:dyDescent="0.25">
      <c r="A288" t="s">
        <v>47</v>
      </c>
      <c r="B288" s="8" t="s">
        <v>123</v>
      </c>
      <c r="C288" s="8" t="s">
        <v>131</v>
      </c>
      <c r="D288">
        <v>200</v>
      </c>
      <c r="E288" t="s">
        <v>96</v>
      </c>
    </row>
    <row r="289" spans="1:5" x14ac:dyDescent="0.25">
      <c r="A289" t="s">
        <v>47</v>
      </c>
      <c r="B289" s="8" t="s">
        <v>123</v>
      </c>
      <c r="C289" s="8" t="s">
        <v>132</v>
      </c>
      <c r="D289">
        <v>200</v>
      </c>
      <c r="E289" t="s">
        <v>96</v>
      </c>
    </row>
    <row r="290" spans="1:5" x14ac:dyDescent="0.25">
      <c r="A290" t="s">
        <v>47</v>
      </c>
      <c r="B290" s="8" t="s">
        <v>123</v>
      </c>
      <c r="C290" s="8" t="s">
        <v>92</v>
      </c>
      <c r="D290">
        <v>200</v>
      </c>
      <c r="E290" t="s">
        <v>96</v>
      </c>
    </row>
    <row r="291" spans="1:5" x14ac:dyDescent="0.25">
      <c r="A291" t="s">
        <v>47</v>
      </c>
      <c r="B291" s="8" t="s">
        <v>123</v>
      </c>
      <c r="C291" s="8" t="s">
        <v>133</v>
      </c>
      <c r="D291">
        <v>200</v>
      </c>
      <c r="E291" t="s">
        <v>96</v>
      </c>
    </row>
    <row r="292" spans="1:5" x14ac:dyDescent="0.25">
      <c r="A292" t="s">
        <v>47</v>
      </c>
      <c r="B292" s="8" t="s">
        <v>123</v>
      </c>
      <c r="C292" s="8" t="s">
        <v>134</v>
      </c>
      <c r="D292">
        <v>200</v>
      </c>
      <c r="E292" t="s">
        <v>96</v>
      </c>
    </row>
    <row r="293" spans="1:5" x14ac:dyDescent="0.25">
      <c r="A293" t="s">
        <v>47</v>
      </c>
      <c r="B293" s="8" t="s">
        <v>123</v>
      </c>
      <c r="C293" s="8" t="s">
        <v>135</v>
      </c>
      <c r="D293">
        <v>200</v>
      </c>
      <c r="E293" t="s">
        <v>96</v>
      </c>
    </row>
    <row r="294" spans="1:5" ht="15.75" customHeight="1" x14ac:dyDescent="0.25">
      <c r="A294" t="s">
        <v>47</v>
      </c>
      <c r="B294" s="8" t="s">
        <v>123</v>
      </c>
      <c r="C294" s="8" t="s">
        <v>136</v>
      </c>
      <c r="D294">
        <v>200</v>
      </c>
      <c r="E294" t="s">
        <v>96</v>
      </c>
    </row>
    <row r="295" spans="1:5" x14ac:dyDescent="0.25">
      <c r="A295" t="s">
        <v>47</v>
      </c>
      <c r="B295" s="8" t="s">
        <v>123</v>
      </c>
      <c r="C295" t="s">
        <v>137</v>
      </c>
      <c r="D295">
        <v>100</v>
      </c>
      <c r="E295" t="s">
        <v>96</v>
      </c>
    </row>
    <row r="296" spans="1:5" ht="15.75" customHeight="1" x14ac:dyDescent="0.25">
      <c r="A296" t="s">
        <v>48</v>
      </c>
      <c r="B296" t="s">
        <v>90</v>
      </c>
      <c r="C296" s="5" t="s">
        <v>95</v>
      </c>
      <c r="D296">
        <v>200</v>
      </c>
      <c r="E296" t="s">
        <v>6</v>
      </c>
    </row>
    <row r="297" spans="1:5" x14ac:dyDescent="0.25">
      <c r="A297" t="s">
        <v>15</v>
      </c>
      <c r="B297" t="s">
        <v>138</v>
      </c>
      <c r="C297" t="s">
        <v>139</v>
      </c>
      <c r="D297">
        <v>200</v>
      </c>
      <c r="E297" t="s">
        <v>6</v>
      </c>
    </row>
    <row r="298" spans="1:5" x14ac:dyDescent="0.25">
      <c r="A298" t="s">
        <v>16</v>
      </c>
      <c r="B298" t="s">
        <v>138</v>
      </c>
      <c r="C298" t="s">
        <v>139</v>
      </c>
      <c r="D298">
        <v>200</v>
      </c>
      <c r="E298" t="s">
        <v>10</v>
      </c>
    </row>
    <row r="299" spans="1:5" x14ac:dyDescent="0.25">
      <c r="A299" t="s">
        <v>16</v>
      </c>
      <c r="B299" t="s">
        <v>140</v>
      </c>
      <c r="C299" t="s">
        <v>141</v>
      </c>
      <c r="D299">
        <v>60</v>
      </c>
      <c r="E299" t="s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spiers</dc:creator>
  <cp:lastModifiedBy>logan spiers</cp:lastModifiedBy>
  <dcterms:created xsi:type="dcterms:W3CDTF">2026-01-14T05:32:45Z</dcterms:created>
  <dcterms:modified xsi:type="dcterms:W3CDTF">2026-01-14T05:34:10Z</dcterms:modified>
</cp:coreProperties>
</file>